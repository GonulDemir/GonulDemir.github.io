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fb01d4cf4845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SFET Comparison" sheetId="1" r:id="Ra1a24cb3793a45df"/>
    <x:sheet xmlns:r="http://schemas.openxmlformats.org/officeDocument/2006/relationships" name="Formula Guide" sheetId="2" r:id="R88281f7d5e624b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B5779"/>
      </x:patternFill>
    </x:fill>
    <x:fill>
      <x:patternFill patternType="solid">
        <x:fgColor rgb="FFE5F2EE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3" fillId="4" borderId="0" xfId="0" applyNumberFormat="1" applyFont="1" applyFill="1" applyBorder="1"/>
    <x:xf numFmtId="200" fontId="0" fillId="0" borderId="1" xfId="0" applyNumberFormat="1" applyFont="1" applyFill="1" applyBorder="1"/>
    <x:xf numFmtId="200" fontId="3" fillId="4" borderId="1" xfId="0" applyNumberFormat="1" applyFont="1" applyFill="1" applyBorder="1"/>
    <x:xf numFmtId="201" fontId="0" fillId="0" borderId="0" xfId="0" applyNumberFormat="1" applyFont="1" applyFill="1" applyBorder="1"/>
    <x:xf numFmtId="201" fontId="3" fillId="4" borderId="0" xfId="0" applyNumberFormat="1" applyFont="1" applyFill="1" applyBorder="1"/>
    <x:xf numFmtId="201" fontId="0" fillId="0" borderId="1" xfId="0" applyNumberFormat="1" applyFont="1" applyFill="1" applyBorder="1"/>
    <x:xf numFmtId="201" fontId="3" fillId="4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4947f97d234d30" /><Relationship Type="http://schemas.openxmlformats.org/officeDocument/2006/relationships/theme" Target="/xl/theme/theme1.xml" Id="Rde275ceff17f48ae" /><Relationship Type="http://schemas.openxmlformats.org/officeDocument/2006/relationships/sharedStrings" Target="/xl/sharedStrings.xml" Id="R1bc5e432edf64826" /><Relationship Type="http://schemas.openxmlformats.org/officeDocument/2006/relationships/worksheet" Target="/xl/worksheets/sheet1.xml" Id="Ra1a24cb3793a45df" /><Relationship Type="http://schemas.openxmlformats.org/officeDocument/2006/relationships/worksheet" Target="/xl/worksheets/sheet2.xml" Id="R88281f7d5e624b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1" topLeftCell="A12" activePane="bottomLeft" state="frozen"/>
    </x:sheetView>
  </x:sheetViews>
  <x:sheetFormatPr defaultRowHeight="15"/>
  <x:cols>
    <x:col min="1" max="1" width="65" hidden="0" customWidth="1"/>
    <x:col min="2" max="2" width="15" hidden="0" customWidth="1"/>
    <x:col min="3" max="3" width="15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6" hidden="0" customWidth="1"/>
  </x:cols>
  <x:sheetData>
    <x:row r="1" ht="34" customHeight="1">
      <x:c r="A1" s="3" t="str">
        <x:v>MOSFET CANDIDATE COMPARISON — 1300 W / 50 Ω / 30 MHz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</x:row>
    <x:row r="3">
      <x:c r="A3" s="7" t="str">
        <x:v>Model inputs</x:v>
      </x:c>
      <x:c r="B3" s="7" t="str">
        <x:v>Value</x:v>
      </x:c>
    </x:row>
    <x:row r="4">
      <x:c r="A4" t="str">
        <x:v>Available RF power (W)</x:v>
      </x:c>
      <x:c r="B4" t="n">
        <x:v>1300</x:v>
      </x:c>
    </x:row>
    <x:row r="5">
      <x:c r="A5" t="str">
        <x:v>Source resistance (Ω)</x:v>
      </x:c>
      <x:c r="B5" t="n">
        <x:v>50</x:v>
      </x:c>
    </x:row>
    <x:row r="6">
      <x:c r="A6" t="str">
        <x:v>Selected load (Ω)</x:v>
      </x:c>
      <x:c r="B6" t="n">
        <x:v>50</x:v>
      </x:c>
    </x:row>
    <x:row r="7">
      <x:c r="A7" t="str">
        <x:v>Unselected load (Ω)</x:v>
      </x:c>
      <x:c r="B7" t="n">
        <x:v>50</x:v>
      </x:c>
    </x:row>
    <x:row r="8">
      <x:c r="A8" t="str">
        <x:v>Frequency (MHz)</x:v>
      </x:c>
      <x:c r="B8" t="n">
        <x:v>30</x:v>
      </x:c>
    </x:row>
    <x:row r="9">
      <x:c r="A9" t="str">
        <x:v>Nominal I² = P / R (A²)</x:v>
      </x:c>
      <x:c r="B9" t="n">
        <x:f>B4/B6</x:f>
        <x:v>26</x:v>
      </x:c>
    </x:row>
    <x:row r="11" ht="45" customHeight="1">
      <x:c r="A11" s="10" t="str">
        <x:v>MOSFET</x:v>
      </x:c>
      <x:c r="B11" s="10" t="str">
        <x:v>VDS (V)</x:v>
      </x:c>
      <x:c r="C11" s="10" t="str">
        <x:v>Coss (pF)</x:v>
      </x:c>
      <x:c r="D11" s="10" t="str">
        <x:v>RDS(on) (mΩ)</x:v>
      </x:c>
      <x:c r="E11" s="10" t="str">
        <x:v>Pair RON (Ω)</x:v>
      </x:c>
      <x:c r="F11" s="10" t="str">
        <x:v>Nominal pair heat (W)</x:v>
      </x:c>
      <x:c r="G11" s="10" t="str">
        <x:v>Ceff OFF (pF)</x:v>
      </x:c>
      <x:c r="H11" s="10" t="str">
        <x:v>Xc (Ω)</x:v>
      </x:c>
      <x:c r="I11" s="10" t="str">
        <x:v>G_on (S)</x:v>
      </x:c>
      <x:c r="J11" s="10" t="str">
        <x:v>G_off (S)</x:v>
      </x:c>
      <x:c r="K11" s="10" t="str">
        <x:v>B_off (S)</x:v>
      </x:c>
      <x:c r="L11" s="10" t="str">
        <x:v>Denominator</x:v>
      </x:c>
      <x:c r="M11" s="10" t="str">
        <x:v>Node Vrms² (V²)</x:v>
      </x:c>
      <x:c r="N11" s="10" t="str">
        <x:v>Leakage @30MHz (W)</x:v>
      </x:c>
      <x:c r="O11" s="10" t="str">
        <x:v>Model pair heat (W)</x:v>
      </x:c>
      <x:c r="P11" s="10" t="str">
        <x:v>Notes</x:v>
      </x:c>
    </x:row>
    <x:row r="12">
      <x:c r="A12" t="str">
        <x:v>IMZC140R029M2H (Design 1)</x:v>
      </x:c>
      <x:c r="B12" t="n">
        <x:v>1400</x:v>
      </x:c>
      <x:c r="C12" t="n">
        <x:v>67</x:v>
      </x:c>
      <x:c r="D12" t="n">
        <x:v>29</x:v>
      </x:c>
      <x:c r="E12" s="16" t="n">
        <x:f>2*D12/1000</x:f>
        <x:v>0.058</x:v>
      </x:c>
      <x:c r="F12" s="20" t="n">
        <x:f>$B$9*E12</x:f>
        <x:v>1.508</x:v>
      </x:c>
      <x:c r="G12" s="16" t="n">
        <x:f>C12/2</x:f>
        <x:v>33.5</x:v>
      </x:c>
      <x:c r="H12" s="16" t="n">
        <x:f>1/(2*PI()*($B$8*1000000)*(G12*1E-12))</x:f>
        <x:v>158.36312745462223</x:v>
      </x:c>
      <x:c r="I12" s="16" t="n">
        <x:f>1/($B$6+E12)</x:f>
        <x:v>0.01997682688081825</x:v>
      </x:c>
      <x:c r="J12" s="16" t="n">
        <x:f>$B$7/($B$7^2+H12^2)</x:f>
        <x:v>0.0018129815188739626</x:v>
      </x:c>
      <x:c r="K12" s="16" t="n">
        <x:f>H12/($B$7^2+H12^2)</x:f>
        <x:v>0.0057421884669262395</x:v>
      </x:c>
      <x:c r="L12" s="16" t="n">
        <x:f>(1+$B$5*(I12+J12))^2+($B$5*K12)^2</x:f>
        <x:v>4.448402036181717</x:v>
      </x:c>
      <x:c r="M12" s="16" t="n">
        <x:f>4*$B$4*$B$5/L12</x:f>
        <x:v>58447.95454305898</x:v>
      </x:c>
      <x:c r="N12" s="20" t="n">
        <x:f>M12*J12</x:f>
        <x:v>105.9650614025514</x:v>
      </x:c>
      <x:c r="O12" s="20" t="n">
        <x:f>M12*E12/($B$6+E12)^2</x:f>
        <x:v>1.3528521081103557</x:v>
      </x:c>
      <x:c r="P12" t="str">
        <x:v>Baseline</x:v>
      </x:c>
    </x:row>
    <x:row r="13">
      <x:c r="A13" t="str">
        <x:v>IMWH170R1K0M1</x:v>
      </x:c>
      <x:c r="B13" t="n">
        <x:v>1700</x:v>
      </x:c>
      <x:c r="C13" t="n">
        <x:v>10</x:v>
      </x:c>
      <x:c r="D13" t="n">
        <x:v>1000</x:v>
      </x:c>
      <x:c r="E13" s="16" t="n">
        <x:f>2*D13/1000</x:f>
        <x:v>2</x:v>
      </x:c>
      <x:c r="F13" s="20" t="n">
        <x:f>$B$9*E13</x:f>
        <x:v>52</x:v>
      </x:c>
      <x:c r="G13" s="16" t="n">
        <x:f>C13/2</x:f>
        <x:v>5</x:v>
      </x:c>
      <x:c r="H13" s="16" t="n">
        <x:f>1/(2*PI()*($B$8*1000000)*(G13*1E-12))</x:f>
        <x:v>1061.032953945969</x:v>
      </x:c>
      <x:c r="I13" s="16" t="n">
        <x:f>1/($B$6+E13)</x:f>
        <x:v>0.019230769230769232</x:v>
      </x:c>
      <x:c r="J13" s="16" t="n">
        <x:f>$B$7/($B$7^2+H13^2)</x:f>
        <x:v>0.00004431481163142215</x:v>
      </x:c>
      <x:c r="K13" s="16" t="n">
        <x:f>H13/($B$7^2+H13^2)</x:f>
        <x:v>0.0009403895097769406</x:v>
      </x:c>
      <x:c r="L13" s="16" t="n">
        <x:f>(1+$B$5*(I13+J13))^2+($B$5*K13)^2</x:f>
        <x:v>3.8585413974193323</x:v>
      </x:c>
      <x:c r="M13" s="16" t="n">
        <x:f>4*$B$4*$B$5/L13</x:f>
        <x:v>67382.9753838829</x:v>
      </x:c>
      <x:c r="N13" s="20" t="n">
        <x:f>M13*J13</x:f>
        <x:v>2.9860638613015267</x:v>
      </x:c>
      <x:c r="O13" s="20" t="n">
        <x:f>M13*E13/($B$6+E13)^2</x:f>
        <x:v>49.83947883423292</x:v>
      </x:c>
      <x:c r="P13" t="str">
        <x:v>High ON resistance</x:v>
      </x:c>
    </x:row>
    <x:row r="14">
      <x:c r="A14" t="str">
        <x:v>B2M600170H</x:v>
      </x:c>
      <x:c r="B14" t="n">
        <x:v>1700</x:v>
      </x:c>
      <x:c r="C14" t="n">
        <x:v>11</x:v>
      </x:c>
      <x:c r="D14" t="n">
        <x:v>600</x:v>
      </x:c>
      <x:c r="E14" s="16" t="n">
        <x:f>2*D14/1000</x:f>
        <x:v>1.2</x:v>
      </x:c>
      <x:c r="F14" s="20" t="n">
        <x:f>$B$9*E14</x:f>
        <x:v>31.2</x:v>
      </x:c>
      <x:c r="G14" s="16" t="n">
        <x:f>C14/2</x:f>
        <x:v>5.5</x:v>
      </x:c>
      <x:c r="H14" s="16" t="n">
        <x:f>1/(2*PI()*($B$8*1000000)*(G14*1E-12))</x:f>
        <x:v>964.5754126781537</x:v>
      </x:c>
      <x:c r="I14" s="16" t="n">
        <x:f>1/($B$6+E14)</x:f>
        <x:v>0.01953125</x:v>
      </x:c>
      <x:c r="J14" s="16" t="n">
        <x:f>$B$7/($B$7^2+H14^2)</x:f>
        <x:v>0.00005359598356690312</x:v>
      </x:c>
      <x:c r="K14" s="16" t="n">
        <x:f>H14/($B$7^2+H14^2)</x:f>
        <x:v>0.0010339473593387425</x:v>
      </x:c>
      <x:c r="L14" s="16" t="n">
        <x:f>(1+$B$5*(I14+J14))^2+($B$5*K14)^2</x:f>
        <x:v>3.9200726967114896</x:v>
      </x:c>
      <x:c r="M14" s="16" t="n">
        <x:f>4*$B$4*$B$5/L14</x:f>
        <x:v>66325.30060427487</x:v>
      </x:c>
      <x:c r="N14" s="20" t="n">
        <x:f>M14*J14</x:f>
        <x:v>3.554769721256626</x:v>
      </x:c>
      <x:c r="O14" s="20" t="n">
        <x:f>M14*E14/($B$6+E14)^2</x:f>
        <x:v>30.361313142826017</x:v>
      </x:c>
      <x:c r="P14" t="str">
        <x:v>High ON resistance</x:v>
      </x:c>
    </x:row>
    <x:row r="15">
      <x:c r="A15" t="str">
        <x:v>IMBF170R650M1</x:v>
      </x:c>
      <x:c r="B15" t="n">
        <x:v>1700</x:v>
      </x:c>
      <x:c r="C15" t="n">
        <x:v>12</x:v>
      </x:c>
      <x:c r="D15" t="n">
        <x:v>650</x:v>
      </x:c>
      <x:c r="E15" s="16" t="n">
        <x:f>2*D15/1000</x:f>
        <x:v>1.3</x:v>
      </x:c>
      <x:c r="F15" s="20" t="n">
        <x:f>$B$9*E15</x:f>
        <x:v>33.800000000000004</x:v>
      </x:c>
      <x:c r="G15" s="16" t="n">
        <x:f>C15/2</x:f>
        <x:v>6</x:v>
      </x:c>
      <x:c r="H15" s="16" t="n">
        <x:f>1/(2*PI()*($B$8*1000000)*(G15*1E-12))</x:f>
        <x:v>884.1941282883075</x:v>
      </x:c>
      <x:c r="I15" s="16" t="n">
        <x:f>1/($B$6+E15)</x:f>
        <x:v>0.019493177387914232</x:v>
      </x:c>
      <x:c r="J15" s="16" t="n">
        <x:f>$B$7/($B$7^2+H15^2)</x:f>
        <x:v>0.00006375117607934466</x:v>
      </x:c>
      <x:c r="K15" s="16" t="n">
        <x:f>H15/($B$7^2+H15^2)</x:f>
        <x:v>0.001127368311216611</x:v>
      </x:c>
      <x:c r="L15" s="16" t="n">
        <x:f>(1+$B$5*(I15+J15))^2+($B$5*K15)^2</x:f>
        <x:v>3.915053891815066</x:v>
      </x:c>
      <x:c r="M15" s="16" t="n">
        <x:f>4*$B$4*$B$5/L15</x:f>
        <x:v>66410.32465569992</x:v>
      </x:c>
      <x:c r="N15" s="20" t="n">
        <x:f>M15*J15</x:f>
        <x:v>4.2337363006119695</x:v>
      </x:c>
      <x:c r="O15" s="20" t="n">
        <x:f>M15*E15/($B$6+E15)^2</x:f>
        <x:v>32.805315995580756</x:v>
      </x:c>
      <x:c r="P15" t="str">
        <x:v>High ON resistance</x:v>
      </x:c>
    </x:row>
    <x:row r="16">
      <x:c r="A16" t="str">
        <x:v>MSC750SMA170B</x:v>
      </x:c>
      <x:c r="B16" t="n">
        <x:v>1700</x:v>
      </x:c>
      <x:c r="C16" t="n">
        <x:v>14</x:v>
      </x:c>
      <x:c r="D16" t="n">
        <x:v>750</x:v>
      </x:c>
      <x:c r="E16" s="16" t="n">
        <x:f>2*D16/1000</x:f>
        <x:v>1.5</x:v>
      </x:c>
      <x:c r="F16" s="20" t="n">
        <x:f>$B$9*E16</x:f>
        <x:v>39</x:v>
      </x:c>
      <x:c r="G16" s="16" t="n">
        <x:f>C16/2</x:f>
        <x:v>7</x:v>
      </x:c>
      <x:c r="H16" s="16" t="n">
        <x:f>1/(2*PI()*($B$8*1000000)*(G16*1E-12))</x:f>
        <x:v>757.8806813899778</x:v>
      </x:c>
      <x:c r="I16" s="16" t="n">
        <x:f>1/($B$6+E16)</x:f>
        <x:v>0.019417475728155338</x:v>
      </x:c>
      <x:c r="J16" s="16" t="n">
        <x:f>$B$7/($B$7^2+H16^2)</x:f>
        <x:v>0.00008667266841481646</x:v>
      </x:c>
      <x:c r="K16" s="16" t="n">
        <x:f>H16/($B$7^2+H16^2)</x:f>
        <x:v>0.001313750819922174</x:v>
      </x:c>
      <x:c r="L16" s="16" t="n">
        <x:f>(1+$B$5*(I16+J16))^2+($B$5*K16)^2</x:f>
        <x:v>3.905759204387706</x:v>
      </x:c>
      <x:c r="M16" s="16" t="n">
        <x:f>4*$B$4*$B$5/L16</x:f>
        <x:v>66568.36389399468</x:v>
      </x:c>
      <x:c r="N16" s="20" t="n">
        <x:f>M16*J16</x:f>
        <x:v>5.7696577307010415</x:v>
      </x:c>
      <x:c r="O16" s="20" t="n">
        <x:f>M16*E16/($B$6+E16)^2</x:f>
        <x:v>37.648240490523904</x:v>
      </x:c>
      <x:c r="P16" t="str">
        <x:v>High ON resistance</x:v>
      </x:c>
    </x:row>
    <x:row r="17">
      <x:c r="A17" t="str">
        <x:v>IMZC120R053M2H</x:v>
      </x:c>
      <x:c r="B17" t="n">
        <x:v>1200</x:v>
      </x:c>
      <x:c r="C17" t="n">
        <x:v>41</x:v>
      </x:c>
      <x:c r="D17" t="n">
        <x:v>53</x:v>
      </x:c>
      <x:c r="E17" s="16" t="n">
        <x:f>2*D17/1000</x:f>
        <x:v>0.106</x:v>
      </x:c>
      <x:c r="F17" s="20" t="n">
        <x:f>$B$9*E17</x:f>
        <x:v>2.756</x:v>
      </x:c>
      <x:c r="G17" s="16" t="n">
        <x:f>C17/2</x:f>
        <x:v>20.5</x:v>
      </x:c>
      <x:c r="H17" s="16" t="n">
        <x:f>1/(2*PI()*($B$8*1000000)*(G17*1E-12))</x:f>
        <x:v>258.7885253526753</x:v>
      </x:c>
      <x:c r="I17" s="16" t="n">
        <x:f>1/($B$6+E17)</x:f>
        <x:v>0.019957689697840578</x:v>
      </x:c>
      <x:c r="J17" s="16" t="n">
        <x:f>$B$7/($B$7^2+H17^2)</x:f>
        <x:v>0.0007197195883953375</x:v>
      </x:c>
      <x:c r="K17" s="16" t="n">
        <x:f>H17/($B$7^2+H17^2)</x:f>
        <x:v>0.003725103418965277</x:v>
      </x:c>
      <x:c r="L17" s="16" t="n">
        <x:f>(1+$B$5*(I17+J17))^2+($B$5*K17)^2</x:f>
        <x:v>4.171320054304846</x:v>
      </x:c>
      <x:c r="M17" s="16" t="n">
        <x:f>4*$B$4*$B$5/L17</x:f>
        <x:v>62330.38860963864</x:v>
      </x:c>
      <x:c r="N17" s="20" t="n">
        <x:f>M17*J17</x:f>
        <x:v>44.86040163465056</x:v>
      </x:c>
      <x:c r="O17" s="20" t="n">
        <x:f>M17*E17/($B$6+E17)^2</x:f>
        <x:v>2.631638502163421</x:v>
      </x:c>
      <x:c r="P17" t="str">
        <x:v>Lower RON, higher Coss</x:v>
      </x:c>
    </x:row>
    <x:row r="18">
      <x:c r="A18" s="13" t="str">
        <x:v>IMZC120R078M2H (Selected)</x:v>
      </x:c>
      <x:c r="B18" s="13" t="n">
        <x:v>1200</x:v>
      </x:c>
      <x:c r="C18" s="13" t="n">
        <x:v>28</x:v>
      </x:c>
      <x:c r="D18" s="13" t="n">
        <x:v>78</x:v>
      </x:c>
      <x:c r="E18" s="17" t="n">
        <x:f>2*D18/1000</x:f>
        <x:v>0.156</x:v>
      </x:c>
      <x:c r="F18" s="21" t="n">
        <x:f>$B$9*E18</x:f>
        <x:v>4.056</x:v>
      </x:c>
      <x:c r="G18" s="17" t="n">
        <x:f>C18/2</x:f>
        <x:v>14</x:v>
      </x:c>
      <x:c r="H18" s="17" t="n">
        <x:f>1/(2*PI()*($B$8*1000000)*(G18*1E-12))</x:f>
        <x:v>378.9403406949889</x:v>
      </x:c>
      <x:c r="I18" s="17" t="n">
        <x:f>1/($B$6+E18)</x:f>
        <x:v>0.019937794082462715</x:v>
      </x:c>
      <x:c r="J18" s="17" t="n">
        <x:f>$B$7/($B$7^2+H18^2)</x:f>
        <x:v>0.0003422412295680315</x:v>
      </x:c>
      <x:c r="K18" s="17" t="n">
        <x:f>H18/($B$7^2+H18^2)</x:f>
        <x:v>0.002593780162647635</x:v>
      </x:c>
      <x:c r="L18" s="17" t="n">
        <x:f>(1+$B$5*(I18+J18))^2+($B$5*K18)^2</x:f>
        <x:v>4.07302235067647</x:v>
      </x:c>
      <x:c r="M18" s="17" t="n">
        <x:f>4*$B$4*$B$5/L18</x:f>
        <x:v>63834.660754272016</x:v>
      </x:c>
      <x:c r="N18" s="21" t="n">
        <x:f>M18*J18</x:f>
        <x:v>21.84685278560022</x:v>
      </x:c>
      <x:c r="O18" s="21" t="n">
        <x:f>M18*E18/($B$6+E18)^2</x:f>
        <x:v>3.9585429887757435</x:v>
      </x:c>
      <x:c r="P18" s="13" t="str">
        <x:v>Selected compromise</x:v>
      </x:c>
    </x:row>
    <x:row r="20" ht="26" customHeight="1">
      <x:c r="A20" t="str">
        <x:v>Method / interpretation</x:v>
      </x:c>
    </x:row>
    <x:row r="21" ht="26" customHeight="1">
      <x:c r="A21" t="str">
        <x:v>Nominal pair heat (F) uses I² = 1300/50 = 26 A²; it is a first-order comparison, not the exact RF-model loss.</x:v>
      </x:c>
    </x:row>
    <x:row r="22" ht="26" customHeight="1">
      <x:c r="A22" t="str">
        <x:v>Model pair heat (O) uses calculated node voltage and selected-branch resistance, so it differs from column F.</x:v>
      </x:c>
    </x:row>
    <x:row r="23" ht="26" customHeight="1">
      <x:c r="A23" t="str">
        <x:v>Leakage (N) is delivered power to the unselected 50 Ω load, not heat dissipated in the MOSFETs.</x:v>
      </x:c>
    </x:row>
    <x:row r="24" ht="26" customHeight="1">
      <x:c r="A24" t="str">
        <x:v>Assumptions: two identical series MOSFETs per branch, no shunt, constant Coss, no additional parasitic capacitance or series resistance.</x:v>
      </x:c>
    </x:row>
    <x:row r="25" ht="26" customHeight="1">
      <x:c r="A25" t="str">
        <x:v>Coss values are user-provided; datasheet voltage measurement conditions may differ across devices. Results are model estimates, not measurements.</x:v>
      </x:c>
    </x:row>
    <x:row r="27">
      <x:c r="A27" s="7" t="str">
        <x:v>Key comparison</x:v>
      </x:c>
      <x:c r="B27" s="7" t="str">
        <x:v>Value</x:v>
      </x:c>
    </x:row>
    <x:row r="28">
      <x:c r="A28" t="str">
        <x:v>Isolation improvement (dB)</x:v>
      </x:c>
      <x:c r="B28" s="20" t="n">
        <x:f>10*LOG10(N12/N18)</x:f>
        <x:v>6.85773811911933</x:v>
      </x:c>
    </x:row>
    <x:row r="29">
      <x:c r="A29" t="str">
        <x:v>Leakage reduction (%)</x:v>
      </x:c>
      <x:c r="B29" s="20" t="n">
        <x:f>100*(1-N18/N12)</x:f>
        <x:v>79.38296595459322</x:v>
      </x:c>
    </x:row>
  </x:sheetData>
  <x:mergeCells>
    <x:mergeCell ref="A1:P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69" hidden="0" customWidth="1"/>
    <x:col min="3" max="3" width="77" hidden="0" customWidth="1"/>
  </x:cols>
  <x:sheetData>
    <x:row r="1" ht="28" customHeight="1">
      <x:c r="A1" s="24" t="str">
        <x:v>COLUMN</x:v>
      </x:c>
      <x:c r="B1" s="24" t="str">
        <x:v>EQUATION</x:v>
      </x:c>
      <x:c r="C1" s="24" t="str">
        <x:v>INTERPRETATION</x:v>
      </x:c>
    </x:row>
    <x:row r="2" ht="27" customHeight="1">
      <x:c r="A2" s="26" t="str">
        <x:v>Pair RON</x:v>
      </x:c>
      <x:c r="B2" s="26" t="str">
        <x:v>RON = 2 × RDS(on) / 1000</x:v>
      </x:c>
      <x:c r="C2" s="26" t="str">
        <x:v>Total ON resistance of two series MOSFETs (Ω).</x:v>
      </x:c>
    </x:row>
    <x:row r="3" ht="27" customHeight="1">
      <x:c r="A3" s="26" t="str">
        <x:v>Nominal pair heat</x:v>
      </x:c>
      <x:c r="B3" s="26" t="str">
        <x:v>Pheat,nom = (Pin / Rload) × RON</x:v>
      </x:c>
      <x:c r="C3" s="26" t="str">
        <x:v>Nominal I²R heating at 1300 W into 50 Ω (W).</x:v>
      </x:c>
    </x:row>
    <x:row r="4" ht="27" customHeight="1">
      <x:c r="A4" s="26" t="str">
        <x:v>Equivalent OFF capacitance</x:v>
      </x:c>
      <x:c r="B4" s="26" t="str">
        <x:v>Ceff = Coss / 2</x:v>
      </x:c>
      <x:c r="C4" s="26" t="str">
        <x:v>Series equivalent of two equal OFF-state capacitances (pF).</x:v>
      </x:c>
    </x:row>
    <x:row r="5" ht="27" customHeight="1">
      <x:c r="A5" s="26" t="str">
        <x:v>Capacitive reactance</x:v>
      </x:c>
      <x:c r="B5" s="26" t="str">
        <x:v>Xc = 1 / (2π f Ceff)</x:v>
      </x:c>
      <x:c r="C5" s="26" t="str">
        <x:v>OFF-branch capacitive reactance (Ω); f in Hz and Ceff in F.</x:v>
      </x:c>
    </x:row>
    <x:row r="6" ht="27" customHeight="1">
      <x:c r="A6" s="26" t="str">
        <x:v>Selected-branch conductance</x:v>
      </x:c>
      <x:c r="B6" s="26" t="str">
        <x:v>Gon = 1 / (Rload,sel + RON)</x:v>
      </x:c>
      <x:c r="C6" s="26" t="str">
        <x:v>Real admittance of selected branch (S).</x:v>
      </x:c>
    </x:row>
    <x:row r="7" ht="27" customHeight="1">
      <x:c r="A7" s="26" t="str">
        <x:v>Unselected-branch conductance</x:v>
      </x:c>
      <x:c r="B7" s="26" t="str">
        <x:v>Goff = Rload,unsel / (Rload,unsel² + Xc²)</x:v>
      </x:c>
      <x:c r="C7" s="26" t="str">
        <x:v>Real part of unselected branch admittance (S).</x:v>
      </x:c>
    </x:row>
    <x:row r="8" ht="27" customHeight="1">
      <x:c r="A8" s="26" t="str">
        <x:v>Unselected-branch susceptance</x:v>
      </x:c>
      <x:c r="B8" s="26" t="str">
        <x:v>Boff = Xc / (Rload,unsel² + Xc²)</x:v>
      </x:c>
      <x:c r="C8" s="26" t="str">
        <x:v>Imaginary part of unselected branch admittance (S).</x:v>
      </x:c>
    </x:row>
    <x:row r="9" ht="27" customHeight="1">
      <x:c r="A9" s="26" t="str">
        <x:v>Denominator</x:v>
      </x:c>
      <x:c r="B9" s="26" t="str">
        <x:v>D = [1 + Rs(Gon + Goff)]² + (Rs Boff)²</x:v>
      </x:c>
      <x:c r="C9" s="26" t="str">
        <x:v>Dimensionless source loading term.</x:v>
      </x:c>
    </x:row>
    <x:row r="10" ht="27" customHeight="1">
      <x:c r="A10" s="26" t="str">
        <x:v>Node voltage squared</x:v>
      </x:c>
      <x:c r="B10" s="26" t="str">
        <x:v>Vnode² = 4 Pin Rs / D</x:v>
      </x:c>
      <x:c r="C10" s="26" t="str">
        <x:v>Squared RMS common-node voltage (V²).</x:v>
      </x:c>
    </x:row>
    <x:row r="11" ht="27" customHeight="1">
      <x:c r="A11" s="26" t="str">
        <x:v>Leakage power</x:v>
      </x:c>
      <x:c r="B11" s="26" t="str">
        <x:v>Pleak = Vnode² × Goff</x:v>
      </x:c>
      <x:c r="C11" s="26" t="str">
        <x:v>RF power reaching the unselected load (W).</x:v>
      </x:c>
    </x:row>
    <x:row r="12" ht="27" customHeight="1">
      <x:c r="A12" s="26" t="str">
        <x:v>RF-model MOSFET heat</x:v>
      </x:c>
      <x:c r="B12" s="26" t="str">
        <x:v>Pheat,RF = Vnode² RON / (Rload,sel + RON)²</x:v>
      </x:c>
      <x:c r="C12" s="26" t="str">
        <x:v>Heat in selected ON-state MOSFET pair using model node voltage (W).</x:v>
      </x:c>
    </x:row>
    <x:row r="13" ht="27" customHeight="1">
      <x:c r="A13" s="26" t="str">
        <x:v>Isolation improvement</x:v>
      </x:c>
      <x:c r="B13" s="26" t="str">
        <x:v>ΔIsolation = 10 log10(Pleak,baseline / Pleak,selected)</x:v>
      </x:c>
      <x:c r="C13" s="26" t="str">
        <x:v>Improvement from Design 1 to selected candidate (dB).</x:v>
      </x:c>
    </x:row>
  </x:sheetData>
  <x:pageMargins left="0.7" right="0.7" top="0.75" bottom="0.75" header="0.3" footer="0.3"/>
</x:worksheet>
</file>