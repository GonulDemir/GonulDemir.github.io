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a790189169e455a" /></Relationships>
</file>

<file path=xl/workbook.xml><?xml version="1.0" encoding="utf-8"?>
<x:workbook xmlns:x="http://schemas.openxmlformats.org/spreadsheetml/2006/main">
  <x:sheets>
    <x:sheet xmlns:r="http://schemas.openxmlformats.org/officeDocument/2006/relationships" name="1_MOSFET_Database" sheetId="1" r:id="R34cccc687d6949e0"/>
    <x:sheet xmlns:r="http://schemas.openxmlformats.org/officeDocument/2006/relationships" name="2_Calculations" sheetId="2" r:id="R76b3b74fb2d94304"/>
    <x:sheet xmlns:r="http://schemas.openxmlformats.org/officeDocument/2006/relationships" name="3_Thermal_55C" sheetId="3" r:id="Rdb3df45fa3a44e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00"/>
    <x:numFmt numFmtId="202" formatCode="0.00"/>
    <x:numFmt numFmtId="203" formatCode="0.000000"/>
  </x:numFmts>
  <x:fonts count="7">
    <x:font>
      <x:sz val="11"/>
      <x:name val="Carlito"/>
    </x:font>
    <x:font>
      <x:b/>
      <x:sz val="14"/>
      <x:color rgb="FFFFFFFF"/>
      <x:name val="Carlito"/>
    </x:font>
    <x:font>
      <x:sz val="10"/>
      <x:name val="Carlito"/>
    </x:font>
    <x:font>
      <x:b/>
      <x:sz val="11"/>
      <x:color rgb="FFFFFFFF"/>
      <x:name val="Carlito"/>
    </x:font>
    <x:font>
      <x:b/>
      <x:sz val="11"/>
      <x:name val="Carlito"/>
    </x:font>
    <x:font>
      <x:i/>
      <x:sz val="9"/>
      <x:name val="Carlito"/>
    </x:font>
    <x:font>
      <x:sz val="9"/>
      <x:name val="Carlito"/>
    </x:font>
  </x:fonts>
  <x:fills count="21">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4472C4"/>
      </x:patternFill>
    </x:fill>
    <x:fill>
      <x:patternFill patternType="solid">
        <x:fgColor rgb="FFD9EAF7"/>
      </x:patternFill>
    </x:fill>
    <x:fill>
      <x:patternFill patternType="solid">
        <x:fgColor rgb="FFFFF2CC"/>
      </x:patternFill>
    </x:fill>
    <x:fill>
      <x:patternFill patternType="solid">
        <x:fgColor rgb="FF70AD47"/>
      </x:patternFill>
    </x:fill>
    <x:fill>
      <x:patternFill patternType="solid">
        <x:fgColor rgb="FFFCE4D6"/>
      </x:patternFill>
    </x:fill>
    <x:fill>
      <x:patternFill patternType="solid">
        <x:fgColor rgb="FF9E480E"/>
      </x:patternFill>
    </x:fill>
    <x:fill>
      <x:patternFill patternType="solid">
        <x:fgColor rgb="FFF4B183"/>
      </x:patternFill>
    </x:fill>
    <x:fill>
      <x:patternFill patternType="solid">
        <x:fgColor rgb="FFFFF2CC"/>
      </x:patternFill>
    </x:fill>
    <x:fill>
      <x:patternFill patternType="solid">
        <x:fgColor rgb="FFDDEBF7"/>
      </x:patternFill>
    </x:fill>
    <x:fill>
      <x:patternFill patternType="solid">
        <x:fgColor rgb="FFC65911"/>
      </x:patternFill>
    </x:fill>
    <x:fill>
      <x:patternFill patternType="solid">
        <x:fgColor rgb="FF4472C4"/>
      </x:patternFill>
    </x:fill>
    <x:fill>
      <x:patternFill patternType="solid">
        <x:fgColor rgb="FF70AD47"/>
      </x:patternFill>
    </x:fill>
    <x:fill>
      <x:patternFill patternType="solid">
        <x:fgColor rgb="FFE2F0D9"/>
      </x:patternFill>
    </x:fill>
    <x:fill>
      <x:patternFill patternType="solid">
        <x:fgColor rgb="FF8064A2"/>
      </x:patternFill>
    </x:fill>
    <x:fill>
      <x:patternFill patternType="solid">
        <x:fgColor rgb="FFFFF2CC"/>
      </x:patternFill>
    </x:fill>
    <x:fill>
      <x:patternFill patternType="solid">
        <x:fgColor rgb="FF548235"/>
      </x:patternFill>
    </x:fill>
    <x:fill>
      <x:patternFill patternType="solid">
        <x:fgColor rgb="FFDDEBF7"/>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201" fontId="0" fillId="6" borderId="0" xfId="0" applyNumberFormat="1" applyFont="1" applyFill="1" applyBorder="1"/>
    <x:xf numFmtId="201" fontId="0" fillId="0" borderId="0" xfId="0" applyNumberFormat="1" applyFont="1" applyFill="1" applyBorder="1"/>
    <x:xf numFmtId="201" fontId="0" fillId="6" borderId="1" xfId="0" applyNumberFormat="1" applyFont="1" applyFill="1" applyBorder="1"/>
    <x:xf numFmtId="201" fontId="0" fillId="0"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2" fontId="0" fillId="0" borderId="0" xfId="0" applyNumberFormat="1" applyFont="1" applyFill="1" applyBorder="1"/>
    <x:xf numFmtId="0" fontId="0" fillId="0"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horizontal="center"/>
    </x:xf>
    <x:xf numFmtId="0" fontId="0" fillId="11" borderId="0" xfId="0" applyNumberFormat="1" applyFont="1" applyFill="1" applyBorder="1"/>
    <x:xf numFmtId="202" fontId="0" fillId="11" borderId="0" xfId="0" applyNumberFormat="1" applyFont="1" applyFill="1" applyBorder="1"/>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top"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202" fontId="0" fillId="0"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wrapText="1"/>
    </x:xf>
    <x:xf numFmtId="0" fontId="6" fillId="16" borderId="0" xfId="0" applyNumberFormat="1" applyFont="1" applyFill="1" applyBorder="1" applyAlignment="1">
      <x:alignment vertical="top" wrapText="1"/>
    </x:xf>
    <x:xf numFmtId="202" fontId="0" fillId="6"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xf numFmtId="202" fontId="0" fillId="0" borderId="0" xfId="0" applyNumberFormat="1" applyFont="1" applyFill="1" applyBorder="1" applyAlignment="1">
      <x:alignment vertical="top"/>
    </x:xf>
    <x:xf numFmtId="0" fontId="0"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wrapText="1"/>
    </x:xf>
    <x:xf numFmtId="0" fontId="5" fillId="18" borderId="0" xfId="0" applyNumberFormat="1" applyFont="1" applyFill="1" applyBorder="1" applyAlignment="1">
      <x:alignment vertical="top"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0" fillId="20" borderId="0" xfId="0" applyNumberFormat="1" applyFont="1" applyFill="1" applyBorder="1"/>
    <x:xf numFmtId="0" fontId="6" fillId="20" borderId="0" xfId="0" applyNumberFormat="1" applyFont="1" applyFill="1" applyBorder="1"/>
    <x:xf numFmtId="0" fontId="6" fillId="20" borderId="0" xfId="0" applyNumberFormat="1" applyFont="1" applyFill="1" applyBorder="1" applyAlignment="1">
      <x:alignment wrapText="1"/>
    </x:xf>
    <x:xf numFmtId="0" fontId="6" fillId="20" borderId="0" xfId="0" applyNumberFormat="1" applyFont="1" applyFill="1" applyBorder="1" applyAlignment="1">
      <x:alignment vertical="top" wrapText="1"/>
    </x:xf>
  </x:cellXfs>
  <x:cellStyles count="1">
    <x:cellStyle name="Normal" xfId="0"/>
  </x:cellStyles>
  <x:dxfs count="10">
    <x:dxf>
      <x:font>
        <x:color rgb="FF9C0006"/>
      </x:font>
      <x:fill>
        <x:patternFill>
          <x:bgColor rgb="FFFCE4D6"/>
        </x:patternFill>
      </x:fill>
    </x:dxf>
    <x:dxf>
      <x:font>
        <x:color rgb="FF9C0006"/>
      </x:font>
      <x:fill>
        <x:patternFill>
          <x:bgColor rgb="FFF8696B"/>
        </x:patternFill>
      </x:fill>
    </x:dxf>
    <x:dxf>
      <x:font>
        <x:b/>
        <x:color rgb="FF9C0006"/>
      </x:font>
      <x:fill>
        <x:patternFill>
          <x:bgColor rgb="FFF8696B"/>
        </x:patternFill>
      </x:fill>
    </x:dxf>
    <x:dxf>
      <x:font>
        <x:color rgb="FF006100"/>
      </x:font>
      <x:fill>
        <x:patternFill>
          <x:bgColor rgb="FFC6EFCE"/>
        </x:patternFill>
      </x:fill>
    </x:dxf>
    <x:dxf>
      <x:font>
        <x:b/>
        <x:color rgb="FF9C0006"/>
      </x:font>
      <x:fill>
        <x:patternFill>
          <x:bgColor rgb="FFF8696B"/>
        </x:patternFill>
      </x:fill>
    </x:dxf>
    <x:dxf>
      <x:font>
        <x:color rgb="FF006100"/>
      </x:font>
      <x:fill>
        <x:patternFill>
          <x:bgColor rgb="FFC6EFCE"/>
        </x:patternFill>
      </x:fill>
    </x:dxf>
    <x:dxf>
      <x:font>
        <x:b/>
        <x:color rgb="FF9C0006"/>
      </x:font>
      <x:fill>
        <x:patternFill>
          <x:bgColor rgb="FFF8696B"/>
        </x:patternFill>
      </x:fill>
    </x:dxf>
    <x:dxf>
      <x:font>
        <x:color rgb="FF006100"/>
      </x:font>
      <x:fill>
        <x:patternFill>
          <x:bgColor rgb="FFC6EFCE"/>
        </x:patternFill>
      </x:fill>
    </x:dxf>
    <x:dxf>
      <x:font>
        <x:b/>
        <x:color rgb="FF006100"/>
      </x:font>
      <x:fill>
        <x:patternFill patternType="solid">
          <x:bgColor rgb="FFC6EFCE"/>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32e8f580cb4293" /><Relationship Type="http://schemas.openxmlformats.org/officeDocument/2006/relationships/theme" Target="/xl/theme/theme1.xml" Id="R0727af452f2b40e2" /><Relationship Type="http://schemas.openxmlformats.org/officeDocument/2006/relationships/sharedStrings" Target="/xl/sharedStrings.xml" Id="Rd70e0f89d36c4c9d" /><Relationship Type="http://schemas.openxmlformats.org/officeDocument/2006/relationships/worksheet" Target="/xl/worksheets/sheet1.xml" Id="R34cccc687d6949e0" /><Relationship Type="http://schemas.openxmlformats.org/officeDocument/2006/relationships/worksheet" Target="/xl/worksheets/sheet2.xml" Id="R76b3b74fb2d94304" /><Relationship Type="http://schemas.openxmlformats.org/officeDocument/2006/relationships/worksheet" Target="/xl/worksheets/sheet3.xml" Id="Rdb3df45fa3a44e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d7859f3cf64373" /><Relationship Type="http://schemas.openxmlformats.org/officeDocument/2006/relationships/chart" Target="/xl/drawings/charts/chart2.xml" Id="Rd1bb132c586f4f47" /></Relationships>
</file>

<file path=xl/drawings/_rels/drawing2.xml.rels>&#65279;<?xml version="1.0" encoding="utf-8"?><Relationships xmlns="http://schemas.openxmlformats.org/package/2006/relationships"><Relationship Type="http://schemas.openxmlformats.org/officeDocument/2006/relationships/chart" Target="/xl/drawings/charts/chart3.xml" Id="Rbeb84a9a03f1417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Coss per MOSFET — Lower is Better</a:t>
            </a:r>
          </a:p>
        </c:rich>
      </c:tx>
    </c:title>
    <c:plotArea>
      <c:barChart>
        <c:barDir val="col"/>
        <c:varyColors val="0"/>
        <c:ser>
          <c:idx val="0"/>
          <c:order val="0"/>
          <c:tx>
            <c:v>VDS (V)</c:v>
          </c:tx>
          <c:cat>
            <c:strRef>
              <c:f>'2_Calculations'!$A$15:$A$21</c:f>
              <c:strCache>
                <c:ptCount val="0"/>
              </c:strCache>
            </c:strRef>
          </c:cat>
          <c:val>
            <c:numRef>
              <c:f>'2_Calculations'!$B$15:$B$21</c:f>
              <c:numCache>
                <c:formatCode>0.0</c:formatCode>
                <c:ptCount val="0"/>
              </c:numCache>
            </c:numRef>
          </c:val>
        </c:ser>
        <c:ser>
          <c:idx val="1"/>
          <c:order val="1"/>
          <c:tx>
            <c:v>ID25 (A)</c:v>
          </c:tx>
          <c:cat>
            <c:strRef>
              <c:f>'2_Calculations'!$A$15:$A$21</c:f>
              <c:strCache>
                <c:ptCount val="0"/>
              </c:strCache>
            </c:strRef>
          </c:cat>
          <c:val>
            <c:numRef>
              <c:f>'2_Calculations'!$C$15:$C$21</c:f>
              <c:numCache>
                <c:formatCode>0.0</c:formatCode>
                <c:ptCount val="0"/>
              </c:numCache>
            </c:numRef>
          </c:val>
        </c:ser>
        <c:ser>
          <c:idx val="2"/>
          <c:order val="2"/>
          <c:tx>
            <c:v>RDS(on) (Ω)</c:v>
          </c:tx>
          <c:cat>
            <c:strRef>
              <c:f>'2_Calculations'!$A$15:$A$21</c:f>
              <c:strCache>
                <c:ptCount val="0"/>
              </c:strCache>
            </c:strRef>
          </c:cat>
          <c:val>
            <c:numRef>
              <c:f>'2_Calculations'!$D$15:$D$21</c:f>
              <c:numCache>
                <c:formatCode>0.000</c:formatCode>
                <c:ptCount val="0"/>
              </c:numCache>
            </c:numRef>
          </c:val>
        </c:ser>
        <c:ser>
          <c:idx val="3"/>
          <c:order val="3"/>
          <c:tx>
            <c:v>Coss each (pF)</c:v>
          </c:tx>
          <c:cat>
            <c:strRef>
              <c:f>'2_Calculations'!$A$15:$A$21</c:f>
              <c:strCache>
                <c:ptCount val="0"/>
              </c:strCache>
            </c:strRef>
          </c:cat>
          <c:val>
            <c:numRef>
              <c:f>'2_Calculations'!$E$15:$E$21</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Estimated OFF-State Isolation vs Frequency</a:t>
            </a:r>
          </a:p>
        </c:rich>
      </c:tx>
    </c:title>
    <c:plotArea>
      <c:lineChart>
        <c:grouping val="standard"/>
        <c:varyColors val="0"/>
        <c:ser>
          <c:idx val="0"/>
          <c:order val="0"/>
          <c:tx>
            <c:v>IMZC140R029M2H Iso (dB)</c:v>
          </c:tx>
          <c:marker>
            <c:symbol val="none"/>
          </c:marker>
          <c:cat>
            <c:strRef>
              <c:f>'2_Calculations'!$A$26:$A$55</c:f>
              <c:strCache>
                <c:ptCount val="0"/>
              </c:strCache>
            </c:strRef>
          </c:cat>
          <c:val>
            <c:numRef>
              <c:f>'2_Calculations'!$B$26:$B$55</c:f>
              <c:numCache>
                <c:formatCode>0.00</c:formatCode>
                <c:ptCount val="0"/>
              </c:numCache>
            </c:numRef>
          </c:val>
        </c:ser>
        <c:ser>
          <c:idx val="1"/>
          <c:order val="1"/>
          <c:tx>
            <c:v>IMWH170R1K0M1 Iso (dB)</c:v>
          </c:tx>
          <c:marker>
            <c:symbol val="none"/>
          </c:marker>
          <c:cat>
            <c:strRef>
              <c:f>'2_Calculations'!$A$26:$A$55</c:f>
              <c:strCache>
                <c:ptCount val="0"/>
              </c:strCache>
            </c:strRef>
          </c:cat>
          <c:val>
            <c:numRef>
              <c:f>'2_Calculations'!$C$26:$C$55</c:f>
              <c:numCache>
                <c:formatCode>0.00</c:formatCode>
                <c:ptCount val="0"/>
              </c:numCache>
            </c:numRef>
          </c:val>
        </c:ser>
        <c:ser>
          <c:idx val="2"/>
          <c:order val="2"/>
          <c:tx>
            <c:v>B2M600170H Iso (dB)</c:v>
          </c:tx>
          <c:marker>
            <c:symbol val="none"/>
          </c:marker>
          <c:cat>
            <c:strRef>
              <c:f>'2_Calculations'!$A$26:$A$55</c:f>
              <c:strCache>
                <c:ptCount val="0"/>
              </c:strCache>
            </c:strRef>
          </c:cat>
          <c:val>
            <c:numRef>
              <c:f>'2_Calculations'!$D$26:$D$55</c:f>
              <c:numCache>
                <c:formatCode>0.00</c:formatCode>
                <c:ptCount val="0"/>
              </c:numCache>
            </c:numRef>
          </c:val>
        </c:ser>
        <c:ser>
          <c:idx val="3"/>
          <c:order val="3"/>
          <c:tx>
            <c:v>IMBF170R650M1 Iso (dB)</c:v>
          </c:tx>
          <c:marker>
            <c:symbol val="none"/>
          </c:marker>
          <c:cat>
            <c:strRef>
              <c:f>'2_Calculations'!$A$26:$A$55</c:f>
              <c:strCache>
                <c:ptCount val="0"/>
              </c:strCache>
            </c:strRef>
          </c:cat>
          <c:val>
            <c:numRef>
              <c:f>'2_Calculations'!$E$26:$E$55</c:f>
              <c:numCache>
                <c:formatCode>0.00</c:formatCode>
                <c:ptCount val="0"/>
              </c:numCache>
            </c:numRef>
          </c:val>
        </c:ser>
        <c:ser>
          <c:idx val="4"/>
          <c:order val="4"/>
          <c:tx>
            <c:v>MSC750SMA170B Iso (dB)</c:v>
          </c:tx>
          <c:marker>
            <c:symbol val="none"/>
          </c:marker>
          <c:cat>
            <c:strRef>
              <c:f>'2_Calculations'!$A$26:$A$55</c:f>
              <c:strCache>
                <c:ptCount val="0"/>
              </c:strCache>
            </c:strRef>
          </c:cat>
          <c:val>
            <c:numRef>
              <c:f>'2_Calculations'!$F$26:$F$55</c:f>
              <c:numCache>
                <c:formatCode>0.00</c:formatCode>
                <c:ptCount val="0"/>
              </c:numCache>
            </c:numRef>
          </c:val>
        </c:ser>
        <c:ser>
          <c:idx val="5"/>
          <c:order val="5"/>
          <c:tx>
            <c:v>DIW170SIC750 Iso (dB)</c:v>
          </c:tx>
          <c:marker>
            <c:symbol val="none"/>
          </c:marker>
          <c:cat>
            <c:strRef>
              <c:f>'2_Calculations'!$A$26:$A$55</c:f>
              <c:strCache>
                <c:ptCount val="0"/>
              </c:strCache>
            </c:strRef>
          </c:cat>
          <c:val>
            <c:numRef>
              <c:f>'2_Calculations'!$G$26:$G$55</c:f>
              <c:numCache>
                <c:formatCode>0.00</c:formatCode>
                <c:ptCount val="0"/>
              </c:numCache>
            </c:numRef>
          </c:val>
        </c:ser>
        <c:ser>
          <c:idx val="6"/>
          <c:order val="6"/>
          <c:tx>
            <c:v>IMWH170R650M1 Iso (dB)</c:v>
          </c:tx>
          <c:marker>
            <c:symbol val="none"/>
          </c:marker>
          <c:cat>
            <c:strRef>
              <c:f>'2_Calculations'!$A$26:$A$55</c:f>
              <c:strCache>
                <c:ptCount val="0"/>
              </c:strCache>
            </c:strRef>
          </c:cat>
          <c:val>
            <c:numRef>
              <c:f>'2_Calculations'!$H$26:$H$55</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Required Shared Heatsink RθSA — Higher Is Easier</a:t>
            </a:r>
          </a:p>
        </c:rich>
      </c:tx>
    </c:title>
    <c:plotArea>
      <c:barChart>
        <c:barDir val="col"/>
        <c:varyColors val="0"/>
        <c:ser>
          <c:idx val="0"/>
          <c:order val="0"/>
          <c:tx>
            <c:v>Hot RDS / FET (Ω)</c:v>
          </c:tx>
          <c:cat>
            <c:strRef>
              <c:f>'3_Thermal_55C'!$K$17:$K$23</c:f>
              <c:strCache>
                <c:ptCount val="0"/>
              </c:strCache>
            </c:strRef>
          </c:cat>
          <c:val>
            <c:numRef>
              <c:f>'3_Thermal_55C'!$L$17:$L$23</c:f>
              <c:numCache>
                <c:formatCode>0.00</c:formatCode>
                <c:ptCount val="0"/>
              </c:numCache>
            </c:numRef>
          </c:val>
        </c:ser>
        <c:ser>
          <c:idx val="1"/>
          <c:order val="1"/>
          <c:tx>
            <c:v>Irms (A)</c:v>
          </c:tx>
          <c:cat>
            <c:strRef>
              <c:f>'3_Thermal_55C'!$K$17:$K$23</c:f>
              <c:strCache>
                <c:ptCount val="0"/>
              </c:strCache>
            </c:strRef>
          </c:cat>
          <c:val>
            <c:numRef>
              <c:f>'3_Thermal_55C'!$M$17:$M$23</c:f>
              <c:numCache>
                <c:formatCode>0.00</c:formatCode>
                <c:ptCount val="0"/>
              </c:numCache>
            </c:numRef>
          </c:val>
        </c:ser>
        <c:ser>
          <c:idx val="2"/>
          <c:order val="2"/>
          <c:tx>
            <c:v>I²R / FET hot (W)</c:v>
          </c:tx>
          <c:cat>
            <c:strRef>
              <c:f>'3_Thermal_55C'!$K$17:$K$23</c:f>
              <c:strCache>
                <c:ptCount val="0"/>
              </c:strCache>
            </c:strRef>
          </c:cat>
          <c:val>
            <c:numRef>
              <c:f>'3_Thermal_55C'!$N$17:$N$23</c:f>
              <c:numCache>
                <c:formatCode>0.00</c:formatCode>
                <c:ptCount val="0"/>
              </c:numCache>
            </c:numRef>
          </c:val>
        </c:ser>
        <c:ser>
          <c:idx val="3"/>
          <c:order val="3"/>
          <c:tx>
            <c:v>RF-margin loss / FET (W)</c:v>
          </c:tx>
          <c:cat>
            <c:strRef>
              <c:f>'3_Thermal_55C'!$K$17:$K$23</c:f>
              <c:strCache>
                <c:ptCount val="0"/>
              </c:strCache>
            </c:strRef>
          </c:cat>
          <c:val>
            <c:numRef>
              <c:f>'3_Thermal_55C'!$O$17:$O$23</c:f>
              <c:numCache>
                <c:formatCode>0.00</c:formatCode>
                <c:ptCount val="0"/>
              </c:numCache>
            </c:numRef>
          </c:val>
        </c:ser>
        <c:ser>
          <c:idx val="4"/>
          <c:order val="4"/>
          <c:tx>
            <c:v>Total pair loss (W)</c:v>
          </c:tx>
          <c:cat>
            <c:strRef>
              <c:f>'3_Thermal_55C'!$K$17:$K$23</c:f>
              <c:strCache>
                <c:ptCount val="0"/>
              </c:strCache>
            </c:strRef>
          </c:cat>
          <c:val>
            <c:numRef>
              <c:f>'3_Thermal_55C'!$P$17:$P$23</c:f>
              <c:numCache>
                <c:formatCode>0.00</c:formatCode>
                <c:ptCount val="0"/>
              </c:numCache>
            </c:numRef>
          </c:val>
        </c:ser>
        <c:ser>
          <c:idx val="5"/>
          <c:order val="5"/>
          <c:tx>
            <c:v>ΔT J-C / FET (°C)</c:v>
          </c:tx>
          <c:cat>
            <c:strRef>
              <c:f>'3_Thermal_55C'!$K$17:$K$23</c:f>
              <c:strCache>
                <c:ptCount val="0"/>
              </c:strCache>
            </c:strRef>
          </c:cat>
          <c:val>
            <c:numRef>
              <c:f>'3_Thermal_55C'!$Q$17:$Q$23</c:f>
              <c:numCache>
                <c:formatCode>0.00</c:formatCode>
                <c:ptCount val="0"/>
              </c:numCache>
            </c:numRef>
          </c:val>
        </c:ser>
        <c:ser>
          <c:idx val="6"/>
          <c:order val="6"/>
          <c:tx>
            <c:v>ΔT C-S / FET (°C)</c:v>
          </c:tx>
          <c:cat>
            <c:strRef>
              <c:f>'3_Thermal_55C'!$K$17:$K$23</c:f>
              <c:strCache>
                <c:ptCount val="0"/>
              </c:strCache>
            </c:strRef>
          </c:cat>
          <c:val>
            <c:numRef>
              <c:f>'3_Thermal_55C'!$R$17:$R$23</c:f>
              <c:numCache>
                <c:formatCode>0.00</c:formatCode>
                <c:ptCount val="0"/>
              </c:numCache>
            </c:numRef>
          </c:val>
        </c:ser>
        <c:ser>
          <c:idx val="7"/>
          <c:order val="7"/>
          <c:tx>
            <c:v>Max heatsink temp for Tj=150°C (°C)</c:v>
          </c:tx>
          <c:cat>
            <c:strRef>
              <c:f>'3_Thermal_55C'!$K$17:$K$23</c:f>
              <c:strCache>
                <c:ptCount val="0"/>
              </c:strCache>
            </c:strRef>
          </c:cat>
          <c:val>
            <c:numRef>
              <c:f>'3_Thermal_55C'!$S$17:$S$23</c:f>
              <c:numCache>
                <c:formatCode>0.00</c:formatCode>
                <c:ptCount val="0"/>
              </c:numCache>
            </c:numRef>
          </c:val>
        </c:ser>
        <c:ser>
          <c:idx val="8"/>
          <c:order val="8"/>
          <c:tx>
            <c:v>Allowed heatsink rise over 55°C (°C)</c:v>
          </c:tx>
          <c:cat>
            <c:strRef>
              <c:f>'3_Thermal_55C'!$K$17:$K$23</c:f>
              <c:strCache>
                <c:ptCount val="0"/>
              </c:strCache>
            </c:strRef>
          </c:cat>
          <c:val>
            <c:numRef>
              <c:f>'3_Thermal_55C'!$T$17:$T$23</c:f>
              <c:numCache>
                <c:formatCode>0.00</c:formatCode>
                <c:ptCount val="0"/>
              </c:numCache>
            </c:numRef>
          </c:val>
        </c:ser>
        <c:ser>
          <c:idx val="9"/>
          <c:order val="9"/>
          <c:tx>
            <c:v>Required shared heatsink RθSA MAX (°C/W)</c:v>
          </c:tx>
          <c:cat>
            <c:strRef>
              <c:f>'3_Thermal_55C'!$K$17:$K$23</c:f>
              <c:strCache>
                <c:ptCount val="0"/>
              </c:strCache>
            </c:strRef>
          </c:cat>
          <c:val>
            <c:numRef>
              <c:f>'3_Thermal_55C'!$U$17:$U$23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19</xdr:col>
      <xdr:colOff>0</xdr:colOff>
      <xdr:row>2</xdr:row>
      <xdr:rowOff>0</xdr:rowOff>
    </xdr:from>
    <xdr:to>
      <xdr:col>27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d7859f3cf64373"/>
        </a:graphicData>
      </a:graphic>
    </xdr:graphicFrame>
    <xdr:clientData/>
  </xdr:twoCellAnchor>
  <xdr:twoCellAnchor>
    <xdr:from>
      <xdr:col>19</xdr:col>
      <xdr:colOff>0</xdr:colOff>
      <xdr:row>19</xdr:row>
      <xdr:rowOff>0</xdr:rowOff>
    </xdr:from>
    <xdr:to>
      <xdr:col>29</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bb132c586f4f47"/>
        </a:graphicData>
      </a:graphic>
    </xdr:graphicFrame>
    <xdr:clientData/>
  </xdr:twoCellAnchor>
</xdr:wsDr>
</file>

<file path=xl/drawings/drawing2.xml><?xml version="1.0" encoding="utf-8"?>
<xdr:wsDr xmlns:xdr="http://schemas.openxmlformats.org/drawingml/2006/spreadsheetDrawing">
  <xdr:twoCellAnchor>
    <xdr:from>
      <xdr:col>26</xdr:col>
      <xdr:colOff>0</xdr:colOff>
      <xdr:row>2</xdr:row>
      <xdr:rowOff>0</xdr:rowOff>
    </xdr:from>
    <xdr:to>
      <xdr:col>34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b84a9a03f1417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b6be0d3b43142d6" /></Relationships>
</file>

<file path=xl/worksheets/_rels/sheet3.xml.rels>&#65279;<?xml version="1.0" encoding="utf-8"?><Relationships xmlns="http://schemas.openxmlformats.org/package/2006/relationships"><Relationship Type="http://schemas.openxmlformats.org/officeDocument/2006/relationships/drawing" Target="/xl/drawings/drawing2.xml" Id="Rb50a2e317e8b4a71"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22" hidden="0" customWidth="1"/>
    <x:col min="4" max="4" width="20" hidden="0" customWidth="1"/>
    <x:col min="5" max="5" width="11" hidden="0" customWidth="1"/>
    <x:col min="6" max="6" width="13" hidden="0" customWidth="1"/>
    <x:col min="7" max="7" width="13" hidden="0" customWidth="1"/>
    <x:col min="8" max="8" width="12" hidden="0" customWidth="1"/>
    <x:col min="9" max="9" width="15" hidden="0" customWidth="1"/>
    <x:col min="10" max="10" width="11" hidden="0" customWidth="1"/>
    <x:col min="11" max="11" width="11" hidden="0" customWidth="1"/>
    <x:col min="12" max="12" width="11" hidden="0" customWidth="1"/>
    <x:col min="13" max="13" width="11" hidden="0" customWidth="1"/>
    <x:col min="14" max="14" width="13" hidden="0" customWidth="1"/>
    <x:col min="15" max="15" width="22" hidden="0" customWidth="1"/>
    <x:col min="16" max="16" width="42" hidden="0" customWidth="1"/>
    <x:col min="17" max="17" width="34" hidden="0" customWidth="1"/>
    <x:col min="18" max="18" width="68" hidden="0" customWidth="1"/>
  </x:cols>
  <x:sheetData>
    <x:row r="1" ht="28" customHeight="1">
      <x:c r="A1" s="5" t="str">
        <x:v>SP2T RF Switch — MOSFET Candidate Database</x:v>
      </x:c>
      <x:c r="B1" s="5"/>
      <x:c r="C1" s="5"/>
      <x:c r="D1" s="5"/>
      <x:c r="E1" s="5"/>
      <x:c r="F1" s="5"/>
      <x:c r="G1" s="5"/>
      <x:c r="H1" s="5"/>
      <x:c r="I1" s="5"/>
      <x:c r="J1" s="5"/>
      <x:c r="K1" s="5"/>
      <x:c r="L1" s="5"/>
      <x:c r="M1" s="5"/>
      <x:c r="N1" s="5"/>
      <x:c r="O1" s="5"/>
      <x:c r="P1" s="5"/>
      <x:c r="Q1" s="5"/>
      <x:c r="R1" s="5"/>
    </x:row>
    <x:row r="3">
      <x:c r="A3" s="13" t="str">
        <x:v>PROJECT REQUIREMENTS: 1–30 MHz, 1300 W maximum RF power, 50 Ω system, 2 back-to-back MOSFETs per RF arm. Calculated RF current = 5.10 Arms / 7.21 Apeak. Low OFF-state capacitance is a priority: desired Coss &lt;25 pF per MOSFET, ideal ≈10 pF or lower. Voltage target ≥1200 V; 1700 V candidates provide extra margin. Important: Coss is voltage-dependent, so values below are screening values taken at the datasheet test condition.</x:v>
      </x:c>
      <x:c r="B3" s="13"/>
      <x:c r="C3" s="13"/>
      <x:c r="D3" s="13"/>
      <x:c r="E3" s="13"/>
      <x:c r="F3" s="13"/>
      <x:c r="G3" s="13"/>
      <x:c r="H3" s="13"/>
      <x:c r="I3" s="13"/>
      <x:c r="J3" s="13"/>
      <x:c r="K3" s="13"/>
      <x:c r="L3" s="13"/>
      <x:c r="M3" s="13"/>
      <x:c r="N3" s="13"/>
      <x:c r="O3" s="13"/>
      <x:c r="P3" s="13"/>
      <x:c r="Q3" s="13"/>
      <x:c r="R3" s="13"/>
    </x:row>
    <x:row r="4">
      <x:c r="A4" s="13"/>
      <x:c r="B4" s="13"/>
      <x:c r="C4" s="13"/>
      <x:c r="D4" s="13"/>
      <x:c r="E4" s="13"/>
      <x:c r="F4" s="13"/>
      <x:c r="G4" s="13"/>
      <x:c r="H4" s="13"/>
      <x:c r="I4" s="13"/>
      <x:c r="J4" s="13"/>
      <x:c r="K4" s="13"/>
      <x:c r="L4" s="13"/>
      <x:c r="M4" s="13"/>
      <x:c r="N4" s="13"/>
      <x:c r="O4" s="13"/>
      <x:c r="P4" s="13"/>
      <x:c r="Q4" s="13"/>
      <x:c r="R4" s="13"/>
    </x:row>
    <x:row r="5">
      <x:c r="A5" s="13"/>
      <x:c r="B5" s="13"/>
      <x:c r="C5" s="13"/>
      <x:c r="D5" s="13"/>
      <x:c r="E5" s="13"/>
      <x:c r="F5" s="13"/>
      <x:c r="G5" s="13"/>
      <x:c r="H5" s="13"/>
      <x:c r="I5" s="13"/>
      <x:c r="J5" s="13"/>
      <x:c r="K5" s="13"/>
      <x:c r="L5" s="13"/>
      <x:c r="M5" s="13"/>
      <x:c r="N5" s="13"/>
      <x:c r="O5" s="13"/>
      <x:c r="P5" s="13"/>
      <x:c r="Q5" s="13"/>
      <x:c r="R5" s="13"/>
    </x:row>
    <x:row r="7" ht="42" customHeight="1">
      <x:c r="A7" s="22" t="str">
        <x:v>Priority</x:v>
      </x:c>
      <x:c r="B7" s="22" t="str">
        <x:v>Manufacturer</x:v>
      </x:c>
      <x:c r="C7" s="22" t="str">
        <x:v>Part Number</x:v>
      </x:c>
      <x:c r="D7" s="22" t="str">
        <x:v>Technology</x:v>
      </x:c>
      <x:c r="E7" s="22" t="str">
        <x:v>VDS max (V)</x:v>
      </x:c>
      <x:c r="F7" s="22" t="str">
        <x:v>ID @25°C (A)</x:v>
      </x:c>
      <x:c r="G7" s="22" t="str">
        <x:v>ID @100°C (A)</x:v>
      </x:c>
      <x:c r="H7" s="22" t="str">
        <x:v>ID pulse (A)</x:v>
      </x:c>
      <x:c r="I7" s="22" t="str">
        <x:v>RDS(on) typ (Ω)</x:v>
      </x:c>
      <x:c r="J7" s="22" t="str">
        <x:v>Coss (pF)</x:v>
      </x:c>
      <x:c r="K7" s="22" t="str">
        <x:v>Ciss (pF)</x:v>
      </x:c>
      <x:c r="L7" s="22" t="str">
        <x:v>Crss (pF)</x:v>
      </x:c>
      <x:c r="M7" s="22" t="str">
        <x:v>Qg (nC)</x:v>
      </x:c>
      <x:c r="N7" s="22" t="str">
        <x:v>RthJC (K/W)</x:v>
      </x:c>
      <x:c r="O7" s="22" t="str">
        <x:v>Package</x:v>
      </x:c>
      <x:c r="P7" s="22" t="str">
        <x:v>Status / Project Fit</x:v>
      </x:c>
      <x:c r="Q7" s="22" t="str">
        <x:v>Coss Test Condition</x:v>
      </x:c>
      <x:c r="R7" s="22" t="str">
        <x:v>Source</x:v>
      </x:c>
    </x:row>
    <x:row r="8">
      <x:c r="A8" s="30" t="str">
        <x:v>Baseline</x:v>
      </x:c>
      <x:c r="B8" s="30" t="str">
        <x:v>Infineon</x:v>
      </x:c>
      <x:c r="C8" s="30" t="str">
        <x:v>IMZC140R029M2H</x:v>
      </x:c>
      <x:c r="D8" s="30" t="str">
        <x:v>SiC MOSFET G2</x:v>
      </x:c>
      <x:c r="E8" s="32" t="n">
        <x:v>1400</x:v>
      </x:c>
      <x:c r="F8" s="32" t="n">
        <x:v>65</x:v>
      </x:c>
      <x:c r="G8" s="32" t="n">
        <x:v>46</x:v>
      </x:c>
      <x:c r="H8" s="32" t="n">
        <x:v>230</x:v>
      </x:c>
      <x:c r="I8" s="34" t="n">
        <x:v>0.029</x:v>
      </x:c>
      <x:c r="J8" s="32" t="n">
        <x:v>67</x:v>
      </x:c>
      <x:c r="K8" s="32" t="n">
        <x:v>1960</x:v>
      </x:c>
      <x:c r="L8" s="32" t="n">
        <x:v>6</x:v>
      </x:c>
      <x:c r="M8" s="32" t="n">
        <x:v>54</x:v>
      </x:c>
      <x:c r="N8" s="32" t="n">
        <x:v>0.52</x:v>
      </x:c>
      <x:c r="O8" s="30" t="str">
        <x:v>TO-247-4 high creepage</x:v>
      </x:c>
      <x:c r="P8" s="30" t="str">
        <x:v>Excellent current/RDS(on), but Coss is far above low-capacitance target.</x:v>
      </x:c>
      <x:c r="Q8" s="30" t="str">
        <x:v>VDS=1000 V, VGS=0 V, f=100 kHz</x:v>
      </x:c>
      <x:c r="R8" s="30" t="str">
        <x:v>https://www.infineon.com/part/IMZC140R029M2H</x:v>
      </x:c>
    </x:row>
    <x:row r="9">
      <x:c r="A9" s="30" t="str">
        <x:v>Coss #1</x:v>
      </x:c>
      <x:c r="B9" s="30" t="str">
        <x:v>Infineon</x:v>
      </x:c>
      <x:c r="C9" s="30" t="str">
        <x:v>IMWH170R1K0M1</x:v>
      </x:c>
      <x:c r="D9" s="30" t="str">
        <x:v>SiC MOSFET G1</x:v>
      </x:c>
      <x:c r="E9" s="32" t="n">
        <x:v>1700</x:v>
      </x:c>
      <x:c r="F9" s="32" t="n">
        <x:v>5.4</x:v>
      </x:c>
      <x:c r="G9" s="32"/>
      <x:c r="H9" s="32"/>
      <x:c r="I9" s="34" t="n">
        <x:v>1</x:v>
      </x:c>
      <x:c r="J9" s="32" t="n">
        <x:v>10</x:v>
      </x:c>
      <x:c r="K9" s="32" t="n">
        <x:v>233</x:v>
      </x:c>
      <x:c r="L9" s="32"/>
      <x:c r="M9" s="32"/>
      <x:c r="N9" s="32" t="n">
        <x:v>2.13</x:v>
      </x:c>
      <x:c r="O9" s="30" t="str">
        <x:v>TO-247-3 HCC</x:v>
      </x:c>
      <x:c r="P9" s="30" t="str">
        <x:v>10 pF target achieved, but ID margin is only ~6% above 5.10 Arms; conduction loss is very high.</x:v>
      </x:c>
      <x:c r="Q9" s="30" t="str">
        <x:v>Manufacturer product value; high-VDS Coss screening value</x:v>
      </x:c>
      <x:c r="R9" s="30" t="str">
        <x:v>https://www.infineon.com/part/IMWH170R1K0M1</x:v>
      </x:c>
    </x:row>
    <x:row r="10">
      <x:c r="A10" s="30" t="str">
        <x:v>Coss #2</x:v>
      </x:c>
      <x:c r="B10" s="30" t="str">
        <x:v>BASiC Semiconductor</x:v>
      </x:c>
      <x:c r="C10" s="30" t="str">
        <x:v>B2M600170H</x:v>
      </x:c>
      <x:c r="D10" s="30" t="str">
        <x:v>SiC MOSFET</x:v>
      </x:c>
      <x:c r="E10" s="32" t="n">
        <x:v>1700</x:v>
      </x:c>
      <x:c r="F10" s="32" t="n">
        <x:v>7</x:v>
      </x:c>
      <x:c r="G10" s="32"/>
      <x:c r="H10" s="32"/>
      <x:c r="I10" s="34" t="n">
        <x:v>0.6</x:v>
      </x:c>
      <x:c r="J10" s="32" t="n">
        <x:v>11</x:v>
      </x:c>
      <x:c r="K10" s="32"/>
      <x:c r="L10" s="32"/>
      <x:c r="M10" s="32"/>
      <x:c r="N10" s="32"/>
      <x:c r="O10" s="30" t="str">
        <x:v>TO-247-3</x:v>
      </x:c>
      <x:c r="P10" s="30" t="str">
        <x:v>Very attractive Coss. 7 A continuous gives usable but modest current margin; thermal review required.</x:v>
      </x:c>
      <x:c r="Q10" s="30" t="str">
        <x:v>VDS=1000 V, f=1 MHz</x:v>
      </x:c>
      <x:c r="R10" s="30" t="str">
        <x:v>https://e2e.ti.com/cfs-file/__key/communityserver-discussions-components-files/196/_5B00_B2M600170H_5D00_-datasheet.pdf</x:v>
      </x:c>
    </x:row>
    <x:row r="11">
      <x:c r="A11" s="30" t="str">
        <x:v>Coss #3</x:v>
      </x:c>
      <x:c r="B11" s="30" t="str">
        <x:v>Infineon</x:v>
      </x:c>
      <x:c r="C11" s="30" t="str">
        <x:v>IMBF170R650M1</x:v>
      </x:c>
      <x:c r="D11" s="30" t="str">
        <x:v>SiC Trench MOSFET G1</x:v>
      </x:c>
      <x:c r="E11" s="32" t="n">
        <x:v>1700</x:v>
      </x:c>
      <x:c r="F11" s="32" t="n">
        <x:v>7.4</x:v>
      </x:c>
      <x:c r="G11" s="32"/>
      <x:c r="H11" s="32"/>
      <x:c r="I11" s="34" t="n">
        <x:v>0.65</x:v>
      </x:c>
      <x:c r="J11" s="32" t="n">
        <x:v>12</x:v>
      </x:c>
      <x:c r="K11" s="32" t="n">
        <x:v>422</x:v>
      </x:c>
      <x:c r="L11" s="32"/>
      <x:c r="M11" s="32" t="n">
        <x:v>8</x:v>
      </x:c>
      <x:c r="N11" s="32" t="n">
        <x:v>1.1</x:v>
      </x:c>
      <x:c r="O11" s="30" t="str">
        <x:v>TO-263-7</x:v>
      </x:c>
      <x:c r="P11" s="30" t="str">
        <x:v>Excellent Coss and slightly better current margin; SMD package with Kelvin sense contact.</x:v>
      </x:c>
      <x:c r="Q11" s="30" t="str">
        <x:v>Manufacturer product value; datasheet high-VDS capacitance</x:v>
      </x:c>
      <x:c r="R11" s="30" t="str">
        <x:v>https://www.infineon.com/part/IMBF170R650M1</x:v>
      </x:c>
    </x:row>
    <x:row r="12">
      <x:c r="A12" s="30" t="str">
        <x:v>Coss #4</x:v>
      </x:c>
      <x:c r="B12" s="30" t="str">
        <x:v>Microchip</x:v>
      </x:c>
      <x:c r="C12" s="30" t="str">
        <x:v>MSC750SMA170B</x:v>
      </x:c>
      <x:c r="D12" s="30" t="str">
        <x:v>SiC MOSFET</x:v>
      </x:c>
      <x:c r="E12" s="32" t="n">
        <x:v>1700</x:v>
      </x:c>
      <x:c r="F12" s="32" t="n">
        <x:v>7</x:v>
      </x:c>
      <x:c r="G12" s="32" t="n">
        <x:v>5</x:v>
      </x:c>
      <x:c r="H12" s="32" t="n">
        <x:v>14</x:v>
      </x:c>
      <x:c r="I12" s="34" t="n">
        <x:v>0.75</x:v>
      </x:c>
      <x:c r="J12" s="32" t="n">
        <x:v>14</x:v>
      </x:c>
      <x:c r="K12" s="32" t="n">
        <x:v>184</x:v>
      </x:c>
      <x:c r="L12" s="32" t="n">
        <x:v>2</x:v>
      </x:c>
      <x:c r="M12" s="32" t="n">
        <x:v>11</x:v>
      </x:c>
      <x:c r="N12" s="32"/>
      <x:c r="O12" s="30" t="str">
        <x:v>TO-247</x:v>
      </x:c>
      <x:c r="P12" s="30" t="str">
        <x:v>Low Coss, but ID at 100°C falls to 5 A, below required 5.10 Arms; thermal margin is critical.</x:v>
      </x:c>
      <x:c r="Q12" s="30" t="str">
        <x:v>VDS=1360 V, VGS=0 V, f=1 MHz</x:v>
      </x:c>
      <x:c r="R12" s="30" t="str">
        <x:v>https://ww1.microchip.com/downloads/aemDocuments/documents/sic/ProductDocuments/DataSheets/MSC750SMA170B-SiC-MOSFET-Datasheet.pdf</x:v>
      </x:c>
    </x:row>
    <x:row r="13">
      <x:c r="A13" s="30" t="str">
        <x:v>Coss #4</x:v>
      </x:c>
      <x:c r="B13" s="30" t="str">
        <x:v>Diotec</x:v>
      </x:c>
      <x:c r="C13" s="30" t="str">
        <x:v>DIW170SIC750</x:v>
      </x:c>
      <x:c r="D13" s="30" t="str">
        <x:v>SiC MOSFET</x:v>
      </x:c>
      <x:c r="E13" s="32" t="n">
        <x:v>1700</x:v>
      </x:c>
      <x:c r="F13" s="32" t="n">
        <x:v>7.5</x:v>
      </x:c>
      <x:c r="G13" s="32" t="n">
        <x:v>5.3</x:v>
      </x:c>
      <x:c r="H13" s="32" t="n">
        <x:v>19</x:v>
      </x:c>
      <x:c r="I13" s="34" t="n">
        <x:v>0.85</x:v>
      </x:c>
      <x:c r="J13" s="32" t="n">
        <x:v>14</x:v>
      </x:c>
      <x:c r="K13" s="32" t="n">
        <x:v>285</x:v>
      </x:c>
      <x:c r="L13" s="32" t="n">
        <x:v>3</x:v>
      </x:c>
      <x:c r="M13" s="32" t="n">
        <x:v>23.8</x:v>
      </x:c>
      <x:c r="N13" s="32"/>
      <x:c r="O13" s="30" t="str">
        <x:v>TO-247-3L</x:v>
      </x:c>
      <x:c r="P13" s="30" t="str">
        <x:v>Low Coss and 7.5 A at 25°C; ID at 100°C only 5.3 A and RDS(on) is high.</x:v>
      </x:c>
      <x:c r="Q13" s="30" t="str">
        <x:v>Manufacturer product specification</x:v>
      </x:c>
      <x:c r="R13" s="30" t="str">
        <x:v>https://diotec.com/en/product/DIW170SIC750.html</x:v>
      </x:c>
    </x:row>
    <x:row r="14">
      <x:c r="A14" s="30" t="str">
        <x:v>Coss #6</x:v>
      </x:c>
      <x:c r="B14" s="30" t="str">
        <x:v>Infineon</x:v>
      </x:c>
      <x:c r="C14" s="30" t="str">
        <x:v>IMWH170R650M1</x:v>
      </x:c>
      <x:c r="D14" s="30" t="str">
        <x:v>SiC MOSFET G1</x:v>
      </x:c>
      <x:c r="E14" s="32" t="n">
        <x:v>1700</x:v>
      </x:c>
      <x:c r="F14" s="32" t="n">
        <x:v>7.5</x:v>
      </x:c>
      <x:c r="G14" s="32"/>
      <x:c r="H14" s="32"/>
      <x:c r="I14" s="34" t="n">
        <x:v>0.65</x:v>
      </x:c>
      <x:c r="J14" s="32" t="n">
        <x:v>15</x:v>
      </x:c>
      <x:c r="K14" s="32" t="n">
        <x:v>337</x:v>
      </x:c>
      <x:c r="L14" s="32"/>
      <x:c r="M14" s="32"/>
      <x:c r="N14" s="32" t="n">
        <x:v>1.69</x:v>
      </x:c>
      <x:c r="O14" s="30" t="str">
        <x:v>TO-247-3 HCC</x:v>
      </x:c>
      <x:c r="P14" s="30" t="str">
        <x:v>Good low-Coss compromise; 7.5 A continuous at 25°C and familiar TO-247 package.</x:v>
      </x:c>
      <x:c r="Q14" s="30" t="str">
        <x:v>Manufacturer product value; high-VDS Coss screening value</x:v>
      </x:c>
      <x:c r="R14" s="30" t="str">
        <x:v>https://www.infineon.com/part/IMWH170R650M1</x:v>
      </x:c>
    </x:row>
  </x:sheetData>
  <x:mergeCells>
    <x:mergeCell ref="A1:R1"/>
    <x:mergeCell ref="A3:R5"/>
  </x:mergeCells>
  <x:conditionalFormatting sqref="J8:J14">
    <x:cfRule type="colorScale" priority="1">
      <x:colorScale>
        <x:cfvo type="min"/>
        <x:cfvo type="percentile" val="50"/>
        <x:cfvo type="max"/>
        <x:color rgb="FF63BE7B"/>
        <x:color rgb="FFFFEB84"/>
        <x:color rgb="FFF8696B"/>
      </x:colorScale>
    </x:cfRule>
  </x:conditionalFormatting>
  <x:conditionalFormatting sqref="F8:F14">
    <x:cfRule type="cellIs" dxfId="0" priority="2" operator="lessThan">
      <x:formula>7.211</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1" hidden="0" customWidth="1"/>
    <x:col min="3" max="3" width="11" hidden="0" customWidth="1"/>
    <x:col min="4" max="4" width="13" hidden="0" customWidth="1"/>
    <x:col min="5" max="5" width="14" hidden="0" customWidth="1"/>
    <x:col min="6" max="6" width="13" hidden="0" customWidth="1"/>
    <x:col min="7" max="7" width="15" hidden="0" customWidth="1"/>
    <x:col min="8" max="8" width="18" hidden="0" customWidth="1"/>
    <x:col min="9" max="9" width="16" hidden="0" customWidth="1"/>
    <x:col min="10" max="10" width="16" hidden="0" customWidth="1"/>
    <x:col min="11" max="11" width="18" hidden="0" customWidth="1"/>
    <x:col min="12" max="12" width="18" hidden="0" customWidth="1"/>
    <x:col min="13" max="13" width="14" hidden="0" customWidth="1"/>
    <x:col min="14" max="14" width="13" hidden="0" customWidth="1"/>
    <x:col min="15" max="15" width="18" hidden="0" customWidth="1"/>
    <x:col min="16" max="16" width="20" hidden="0" customWidth="1"/>
    <x:col min="17" max="17" width="20" hidden="0" customWidth="1"/>
    <x:col min="18" max="18" width="42" hidden="0" customWidth="1"/>
    <x:col min="19" max="19" width="22" hidden="0" customWidth="1"/>
    <x:col min="20" max="20" width="22" hidden="0" customWidth="1"/>
    <x:col min="21" max="21" width="26" hidden="0" customWidth="1"/>
    <x:col min="22" max="22" width="50" hidden="0" customWidth="1"/>
  </x:cols>
  <x:sheetData>
    <x:row r="1">
      <x:c r="A1" s="4" t="str">
        <x:v>1300 W / 50 Ω — Back-to-Back MOSFET RF Loss &amp; Isolation Calculations</x:v>
      </x:c>
      <x:c r="B1" s="4"/>
      <x:c r="C1" s="4"/>
      <x:c r="D1" s="4"/>
      <x:c r="E1" s="4"/>
      <x:c r="F1" s="4"/>
      <x:c r="G1" s="4"/>
      <x:c r="H1" s="4"/>
      <x:c r="I1" s="4"/>
      <x:c r="J1" s="4"/>
      <x:c r="K1" s="4"/>
      <x:c r="L1" s="4"/>
      <x:c r="M1" s="4"/>
      <x:c r="N1" s="4"/>
      <x:c r="O1" s="4"/>
      <x:c r="P1" s="4"/>
      <x:c r="Q1" s="4"/>
      <x:c r="R1" s="4"/>
      <x:c r="S1" s="4"/>
      <x:c r="T1" s="4"/>
    </x:row>
    <x:row r="3">
      <x:c r="A3" s="38" t="str">
        <x:v>PROJECT INPUT</x:v>
      </x:c>
      <x:c r="B3" s="38" t="str">
        <x:v>Value</x:v>
      </x:c>
    </x:row>
    <x:row r="4">
      <x:c r="A4" t="str">
        <x:v>RF Power Pin (W)</x:v>
      </x:c>
      <x:c r="B4" s="44" t="n">
        <x:v>1300</x:v>
      </x:c>
    </x:row>
    <x:row r="5">
      <x:c r="A5" t="str">
        <x:v>System impedance Z0 (Ω)</x:v>
      </x:c>
      <x:c r="B5" s="44" t="n">
        <x:v>50</x:v>
      </x:c>
    </x:row>
    <x:row r="6">
      <x:c r="A6" t="str">
        <x:v>Frequency minimum (MHz)</x:v>
      </x:c>
      <x:c r="B6" s="44" t="n">
        <x:v>1</x:v>
      </x:c>
    </x:row>
    <x:row r="7">
      <x:c r="A7" t="str">
        <x:v>Frequency maximum (MHz)</x:v>
      </x:c>
      <x:c r="B7" s="44" t="n">
        <x:v>30</x:v>
      </x:c>
    </x:row>
    <x:row r="8">
      <x:c r="A8" t="str">
        <x:v>MOSFETs in RF path</x:v>
      </x:c>
      <x:c r="B8" s="44" t="n">
        <x:v>2</x:v>
      </x:c>
    </x:row>
    <x:row r="9">
      <x:c r="A9" t="str">
        <x:v>Vrms (V)</x:v>
      </x:c>
      <x:c r="B9" s="45" t="n">
        <x:f>SQRT(B4*B5)</x:f>
        <x:v>254.95097567963924</x:v>
      </x:c>
    </x:row>
    <x:row r="10">
      <x:c r="A10" t="str">
        <x:v>Irms (A)</x:v>
      </x:c>
      <x:c r="B10" s="45" t="n">
        <x:f>SQRT(B4/B5)</x:f>
        <x:v>5.0990195135927845</x:v>
      </x:c>
    </x:row>
    <x:row r="11">
      <x:c r="A11" t="str">
        <x:v>Ipeak (A)</x:v>
      </x:c>
      <x:c r="B11" s="45" t="n">
        <x:f>B10*SQRT(2)</x:f>
        <x:v>7.211102550927978</x:v>
      </x:c>
    </x:row>
    <x:row r="14" ht="44" customHeight="1">
      <x:c r="A14" s="22" t="str">
        <x:v>Part Number</x:v>
      </x:c>
      <x:c r="B14" s="22" t="str">
        <x:v>VDS (V)</x:v>
      </x:c>
      <x:c r="C14" s="22" t="str">
        <x:v>ID25 (A)</x:v>
      </x:c>
      <x:c r="D14" s="22" t="str">
        <x:v>RDS(on) (Ω)</x:v>
      </x:c>
      <x:c r="E14" s="22" t="str">
        <x:v>Coss each (pF)</x:v>
      </x:c>
      <x:c r="F14" s="22" t="str">
        <x:v>Ceq B2B (pF)</x:v>
      </x:c>
      <x:c r="G14" s="22" t="str">
        <x:v>Total RON B2B (Ω)</x:v>
      </x:c>
      <x:c r="H14" s="22" t="str">
        <x:v>I²R loss total (W)</x:v>
      </x:c>
      <x:c r="I14" s="22" t="str">
        <x:v>Loss / MOSFET (W)</x:v>
      </x:c>
      <x:c r="J14" s="22" t="str">
        <x:v>Conduction loss (%)</x:v>
      </x:c>
      <x:c r="K14" s="22" t="str">
        <x:v>ID margin vs Irms (%)</x:v>
      </x:c>
      <x:c r="L14" s="22" t="str">
        <x:v>ID margin vs Ipeak (%)</x:v>
      </x:c>
      <x:c r="M14" s="22" t="str">
        <x:v>30MHz Xc (Ω)</x:v>
      </x:c>
      <x:c r="N14" s="22" t="str">
        <x:v>30MHz |S21|</x:v>
      </x:c>
      <x:c r="O14" s="22" t="str">
        <x:v>30MHz Isolation (dB)</x:v>
      </x:c>
      <x:c r="P14" s="22" t="str">
        <x:v>30MHz Leaked Power (W)</x:v>
      </x:c>
      <x:c r="Q14" s="22" t="str">
        <x:v>30MHz Leaked Power (%)</x:v>
      </x:c>
      <x:c r="R14" s="22" t="str">
        <x:v>Overall Comment</x:v>
      </x:c>
      <x:c r="S14" s="110" t="str">
        <x:v>Estimated Total Loss @30MHz (W)</x:v>
      </x:c>
      <x:c r="T14" s="110" t="str">
        <x:v>Estimated Total Loss @30MHz (%)</x:v>
      </x:c>
      <x:c r="U14" s="110" t="str">
        <x:v>Project Suitability</x:v>
      </x:c>
      <x:c r="V14" s="110" t="str">
        <x:v>Why / Main Trade-off</x:v>
      </x:c>
    </x:row>
    <x:row r="15">
      <x:c r="A15" s="30" t="str">
        <x:v>IMZC140R029M2H</x:v>
      </x:c>
      <x:c r="B15" s="32" t="n">
        <x:v>1400</x:v>
      </x:c>
      <x:c r="C15" s="32" t="n">
        <x:v>65</x:v>
      </x:c>
      <x:c r="D15" s="34" t="n">
        <x:v>0.029</x:v>
      </x:c>
      <x:c r="E15" s="34" t="n">
        <x:v>67</x:v>
      </x:c>
      <x:c r="F15" s="34" t="n">
        <x:f>E15/$B$8</x:f>
        <x:v>33.5</x:v>
      </x:c>
      <x:c r="G15" s="34" t="n">
        <x:f>D15*$B$8</x:f>
        <x:v>0.058</x:v>
      </x:c>
      <x:c r="H15" s="64" t="n">
        <x:f>$B$10^2*G15</x:f>
        <x:v>1.5079999999999998</x:v>
      </x:c>
      <x:c r="I15" s="64" t="n">
        <x:f>H15/$B$8</x:f>
        <x:v>0.7539999999999999</x:v>
      </x:c>
      <x:c r="J15" s="64" t="n">
        <x:f>100*H15/$B$4</x:f>
        <x:v>0.11599999999999999</x:v>
      </x:c>
      <x:c r="K15" s="32" t="n">
        <x:f>100*(C15/$B$10-1)</x:f>
        <x:v>1174.7548783981963</x:v>
      </x:c>
      <x:c r="L15" s="32" t="n">
        <x:f>100*(C15/$B$11-1)</x:f>
        <x:v>801.3878188659974</x:v>
      </x:c>
      <x:c r="M15" s="32" t="n">
        <x:f>1/(2*PI()*($B$7*1000000)*(F15*1E-12))</x:f>
        <x:v>158.36312745462223</x:v>
      </x:c>
      <x:c r="N15" s="66" t="n">
        <x:f>(2*$B$5)/SQRT((2*$B$5)^2+M15^2)</x:f>
        <x:v>0.533921168503991</x:v>
      </x:c>
      <x:c r="O15" s="64" t="n">
        <x:f>-20*LOG10(N15)</x:f>
        <x:v>5.45045720441046</x:v>
      </x:c>
      <x:c r="P15" s="64" t="n">
        <x:f>$B$4*N15^2</x:f>
        <x:v>370.59335842966726</x:v>
      </x:c>
      <x:c r="Q15" s="64" t="n">
        <x:f>100*N15^2</x:f>
        <x:v>28.50718141766671</x:v>
      </x:c>
      <x:c r="R15" s="30" t="str">
        <x:v>Baseline: superb conduction loss, weak OFF-state capacitance.</x:v>
      </x:c>
      <x:c r="S15" s="111" t="n">
        <x:f>H15+P15</x:f>
        <x:v>372.10135842966724</x:v>
      </x:c>
      <x:c r="T15" s="111" t="n">
        <x:f>100*S15/$B$4</x:f>
        <x:v>28.62318141766671</x:v>
      </x:c>
      <x:c r="U15" s="30" t="str">
        <x:v>MAYBE / BASELINE</x:v>
      </x:c>
      <x:c r="V15" s="30" t="str">
        <x:v>Excellent RDS(on) and current margin, but Coss=67 pF is far above the &lt;25 pF target; OFF-state isolation is the weakness.</x:v>
      </x:c>
    </x:row>
    <x:row r="16">
      <x:c r="A16" s="30" t="str">
        <x:v>IMWH170R1K0M1</x:v>
      </x:c>
      <x:c r="B16" s="32" t="n">
        <x:v>1700</x:v>
      </x:c>
      <x:c r="C16" s="32" t="n">
        <x:v>5.4</x:v>
      </x:c>
      <x:c r="D16" s="34" t="n">
        <x:v>1</x:v>
      </x:c>
      <x:c r="E16" s="34" t="n">
        <x:v>10</x:v>
      </x:c>
      <x:c r="F16" s="34" t="n">
        <x:f>E16/$B$8</x:f>
        <x:v>5</x:v>
      </x:c>
      <x:c r="G16" s="34" t="n">
        <x:f>D16*$B$8</x:f>
        <x:v>2</x:v>
      </x:c>
      <x:c r="H16" s="64" t="n">
        <x:f>$B$10^2*G16</x:f>
        <x:v>51.99999999999999</x:v>
      </x:c>
      <x:c r="I16" s="64" t="n">
        <x:f>H16/$B$8</x:f>
        <x:v>25.999999999999996</x:v>
      </x:c>
      <x:c r="J16" s="64" t="n">
        <x:f>100*H16/$B$4</x:f>
        <x:v>3.999999999999999</x:v>
      </x:c>
      <x:c r="K16" s="32" t="n">
        <x:f>100*(C16/$B$10-1)</x:f>
        <x:v>5.902712974619395</x:v>
      </x:c>
      <x:c r="L16" s="32" t="n">
        <x:f>100*(C16/$B$11-1)</x:f>
        <x:v>-25.115473509594054</x:v>
      </x:c>
      <x:c r="M16" s="32" t="n">
        <x:f>1/(2*PI()*($B$7*1000000)*(F16*1E-12))</x:f>
        <x:v>1061.032953945969</x:v>
      </x:c>
      <x:c r="N16" s="66" t="n">
        <x:f>(2*$B$5)/SQRT((2*$B$5)^2+M16^2)</x:f>
        <x:v>0.09383196299423328</x:v>
      </x:c>
      <x:c r="O16" s="64" t="n">
        <x:f>-20*LOG10(N16)</x:f>
        <x:v>20.552983960036002</x:v>
      </x:c>
      <x:c r="P16" s="64" t="n">
        <x:f>$B$4*N16^2</x:f>
        <x:v>11.445768463156513</x:v>
      </x:c>
      <x:c r="Q16" s="64" t="n">
        <x:f>100*N16^2</x:f>
        <x:v>0.8804437279351164</x:v>
      </x:c>
      <x:c r="R16" s="30" t="str">
        <x:v>Best Coss, but continuous current and conduction loss are the main problems.</x:v>
      </x:c>
      <x:c r="S16" s="111" t="n">
        <x:f>H16+P16</x:f>
        <x:v>63.445768463156504</x:v>
      </x:c>
      <x:c r="T16" s="111" t="n">
        <x:f>100*S16/$B$4</x:f>
        <x:v>4.880443727935115</x:v>
      </x:c>
      <x:c r="U16" s="30" t="str">
        <x:v>NO</x:v>
      </x:c>
      <x:c r="V16" s="30" t="str">
        <x:v>Coss=10 pF is excellent, but ID margin is too small and hot conduction loss is excessive. Thermal design is not practical at full power.</x:v>
      </x:c>
    </x:row>
    <x:row r="17">
      <x:c r="A17" s="30" t="str">
        <x:v>B2M600170H</x:v>
      </x:c>
      <x:c r="B17" s="32" t="n">
        <x:v>1700</x:v>
      </x:c>
      <x:c r="C17" s="32" t="n">
        <x:v>7</x:v>
      </x:c>
      <x:c r="D17" s="34" t="n">
        <x:v>0.6</x:v>
      </x:c>
      <x:c r="E17" s="34" t="n">
        <x:v>11</x:v>
      </x:c>
      <x:c r="F17" s="34" t="n">
        <x:f>E17/$B$8</x:f>
        <x:v>5.5</x:v>
      </x:c>
      <x:c r="G17" s="34" t="n">
        <x:f>D17*$B$8</x:f>
        <x:v>1.2</x:v>
      </x:c>
      <x:c r="H17" s="64" t="n">
        <x:f>$B$10^2*G17</x:f>
        <x:v>31.199999999999996</x:v>
      </x:c>
      <x:c r="I17" s="64" t="n">
        <x:f>H17/$B$8</x:f>
        <x:v>15.599999999999998</x:v>
      </x:c>
      <x:c r="J17" s="64" t="n">
        <x:f>100*H17/$B$4</x:f>
        <x:v>2.3999999999999995</x:v>
      </x:c>
      <x:c r="K17" s="32" t="n">
        <x:f>100*(C17/$B$10-1)</x:f>
        <x:v>37.28129459672884</x:v>
      </x:c>
      <x:c r="L17" s="32" t="n">
        <x:f>100*(C17/$B$11-1)</x:f>
        <x:v>-2.9274656605848937</x:v>
      </x:c>
      <x:c r="M17" s="32" t="n">
        <x:f>1/(2*PI()*($B$7*1000000)*(F17*1E-12))</x:f>
        <x:v>964.5754126781537</x:v>
      </x:c>
      <x:c r="N17" s="66" t="n">
        <x:f>(2*$B$5)/SQRT((2*$B$5)^2+M17^2)</x:f>
        <x:v>0.10311987251078143</x:v>
      </x:c>
      <x:c r="O17" s="64" t="n">
        <x:f>-20*LOG10(N17)</x:f>
        <x:v>19.73315265163038</x:v>
      </x:c>
      <x:c r="P17" s="64" t="n">
        <x:f>$B$4*N17^2</x:f>
        <x:v>13.82382053863176</x:v>
      </x:c>
      <x:c r="Q17" s="64" t="n">
        <x:f>100*N17^2</x:f>
        <x:v>1.0633708106639816</x:v>
      </x:c>
      <x:c r="R17" s="30" t="str">
        <x:v>Very attractive Coss/current compromise; thermal loss still significant.</x:v>
      </x:c>
      <x:c r="S17" s="111" t="n">
        <x:f>H17+P17</x:f>
        <x:v>45.02382053863175</x:v>
      </x:c>
      <x:c r="T17" s="111" t="n">
        <x:f>100*S17/$B$4</x:f>
        <x:v>3.463370810663981</x:v>
      </x:c>
      <x:c r="U17" s="30" t="str">
        <x:v>RISKY</x:v>
      </x:c>
      <x:c r="V17" s="30" t="str">
        <x:v>Coss=11 pF is excellent. Current margin is modest and worst-case thermal requirement is extremely demanding (~0.09°C/W shared heatsink).</x:v>
      </x:c>
    </x:row>
    <x:row r="18">
      <x:c r="A18" s="30" t="str">
        <x:v>IMBF170R650M1</x:v>
      </x:c>
      <x:c r="B18" s="32" t="n">
        <x:v>1700</x:v>
      </x:c>
      <x:c r="C18" s="32" t="n">
        <x:v>7.4</x:v>
      </x:c>
      <x:c r="D18" s="34" t="n">
        <x:v>0.65</x:v>
      </x:c>
      <x:c r="E18" s="34" t="n">
        <x:v>12</x:v>
      </x:c>
      <x:c r="F18" s="34" t="n">
        <x:f>E18/$B$8</x:f>
        <x:v>6</x:v>
      </x:c>
      <x:c r="G18" s="34" t="n">
        <x:f>D18*$B$8</x:f>
        <x:v>1.3</x:v>
      </x:c>
      <x:c r="H18" s="64" t="n">
        <x:f>$B$10^2*G18</x:f>
        <x:v>33.8</x:v>
      </x:c>
      <x:c r="I18" s="64" t="n">
        <x:f>H18/$B$8</x:f>
        <x:v>16.9</x:v>
      </x:c>
      <x:c r="J18" s="64" t="n">
        <x:f>100*H18/$B$4</x:f>
        <x:v>2.5999999999999996</x:v>
      </x:c>
      <x:c r="K18" s="32" t="n">
        <x:f>100*(C18/$B$10-1)</x:f>
        <x:v>45.1259400022562</x:v>
      </x:c>
      <x:c r="L18" s="32" t="n">
        <x:f>100*(C18/$B$11-1)</x:f>
        <x:v>2.6195363016674023</x:v>
      </x:c>
      <x:c r="M18" s="32" t="n">
        <x:f>1/(2*PI()*($B$7*1000000)*(F18*1E-12))</x:f>
        <x:v>884.1941282883075</x:v>
      </x:c>
      <x:c r="N18" s="66" t="n">
        <x:f>(2*$B$5)/SQRT((2*$B$5)^2+M18^2)</x:f>
        <x:v>0.11238088690190716</x:v>
      </x:c>
      <x:c r="O18" s="64" t="n">
        <x:f>-20*LOG10(N18)</x:f>
        <x:v>18.98615089613322</x:v>
      </x:c>
      <x:c r="P18" s="64" t="n">
        <x:f>$B$4*N18^2</x:f>
        <x:v>16.41830286311702</x:v>
      </x:c>
      <x:c r="Q18" s="64" t="n">
        <x:f>100*N18^2</x:f>
        <x:v>1.2629463740859248</x:v>
      </x:c>
      <x:c r="R18" s="30" t="str">
        <x:v>Low Coss with somewhat better current margin; SMD package.</x:v>
      </x:c>
      <x:c r="S18" s="111" t="n">
        <x:f>H18+P18</x:f>
        <x:v>50.21830286311702</x:v>
      </x:c>
      <x:c r="T18" s="111" t="n">
        <x:f>100*S18/$B$4</x:f>
        <x:v>3.862946374085924</x:v>
      </x:c>
      <x:c r="U18" s="30" t="str">
        <x:v>BEST LOW-COSS CANDIDATE</x:v>
      </x:c>
      <x:c r="V18" s="30" t="str">
        <x:v>Coss=12 pF, 7.4 A class and the best thermal path among the low-Coss shortlist. Still needs substantial heatsinking and RF validation.</x:v>
      </x:c>
    </x:row>
    <x:row r="19">
      <x:c r="A19" s="30" t="str">
        <x:v>MSC750SMA170B</x:v>
      </x:c>
      <x:c r="B19" s="32" t="n">
        <x:v>1700</x:v>
      </x:c>
      <x:c r="C19" s="32" t="n">
        <x:v>7</x:v>
      </x:c>
      <x:c r="D19" s="34" t="n">
        <x:v>0.75</x:v>
      </x:c>
      <x:c r="E19" s="34" t="n">
        <x:v>14</x:v>
      </x:c>
      <x:c r="F19" s="34" t="n">
        <x:f>E19/$B$8</x:f>
        <x:v>7</x:v>
      </x:c>
      <x:c r="G19" s="34" t="n">
        <x:f>D19*$B$8</x:f>
        <x:v>1.5</x:v>
      </x:c>
      <x:c r="H19" s="64" t="n">
        <x:f>$B$10^2*G19</x:f>
        <x:v>38.99999999999999</x:v>
      </x:c>
      <x:c r="I19" s="64" t="n">
        <x:f>H19/$B$8</x:f>
        <x:v>19.499999999999996</x:v>
      </x:c>
      <x:c r="J19" s="64" t="n">
        <x:f>100*H19/$B$4</x:f>
        <x:v>2.999999999999999</x:v>
      </x:c>
      <x:c r="K19" s="32" t="n">
        <x:f>100*(C19/$B$10-1)</x:f>
        <x:v>37.28129459672884</x:v>
      </x:c>
      <x:c r="L19" s="32" t="n">
        <x:f>100*(C19/$B$11-1)</x:f>
        <x:v>-2.9274656605848937</x:v>
      </x:c>
      <x:c r="M19" s="32" t="n">
        <x:f>1/(2*PI()*($B$7*1000000)*(F19*1E-12))</x:f>
        <x:v>757.8806813899778</x:v>
      </x:c>
      <x:c r="N19" s="66" t="n">
        <x:f>(2*$B$5)/SQRT((2*$B$5)^2+M19^2)</x:f>
        <x:v>0.13081307839203835</x:v>
      </x:c>
      <x:c r="O19" s="64" t="n">
        <x:f>-20*LOG10(N19)</x:f>
        <x:v>17.666976681465222</x:v>
      </x:c>
      <x:c r="P19" s="64" t="n">
        <x:f>$B$4*N19^2</x:f>
        <x:v>22.24567992192204</x:v>
      </x:c>
      <x:c r="Q19" s="64" t="n">
        <x:f>100*N19^2</x:f>
        <x:v>1.711206147840157</x:v>
      </x:c>
      <x:c r="R19" s="30" t="str">
        <x:v>Low Coss, but 100°C current rating is below required Irms.</x:v>
      </x:c>
      <x:c r="S19" s="111" t="n">
        <x:f>H19+P19</x:f>
        <x:v>61.24567992192203</x:v>
      </x:c>
      <x:c r="T19" s="111" t="n">
        <x:f>100*S19/$B$4</x:f>
        <x:v>4.711206147840157</x:v>
      </x:c>
      <x:c r="U19" s="30" t="str">
        <x:v>NO / HIGH RISK</x:v>
      </x:c>
      <x:c r="V19" s="30" t="str">
        <x:v>Coss=14 pF is good, but ID at 100°C falls below the required 5.10 Arms and worst-case thermal margin is inadequate.</x:v>
      </x:c>
    </x:row>
    <x:row r="20">
      <x:c r="A20" s="30" t="str">
        <x:v>DIW170SIC750</x:v>
      </x:c>
      <x:c r="B20" s="32" t="n">
        <x:v>1700</x:v>
      </x:c>
      <x:c r="C20" s="32" t="n">
        <x:v>7.5</x:v>
      </x:c>
      <x:c r="D20" s="34" t="n">
        <x:v>0.85</x:v>
      </x:c>
      <x:c r="E20" s="34" t="n">
        <x:v>14</x:v>
      </x:c>
      <x:c r="F20" s="34" t="n">
        <x:f>E20/$B$8</x:f>
        <x:v>7</x:v>
      </x:c>
      <x:c r="G20" s="34" t="n">
        <x:f>D20*$B$8</x:f>
        <x:v>1.7</x:v>
      </x:c>
      <x:c r="H20" s="64" t="n">
        <x:f>$B$10^2*G20</x:f>
        <x:v>44.199999999999996</x:v>
      </x:c>
      <x:c r="I20" s="64" t="n">
        <x:f>H20/$B$8</x:f>
        <x:v>22.099999999999998</x:v>
      </x:c>
      <x:c r="J20" s="64" t="n">
        <x:f>100*H20/$B$4</x:f>
        <x:v>3.4</x:v>
      </x:c>
      <x:c r="K20" s="32" t="n">
        <x:f>100*(C20/$B$10-1)</x:f>
        <x:v>47.087101353638026</x:v>
      </x:c>
      <x:c r="L20" s="32" t="n">
        <x:f>100*(C20/$B$11-1)</x:f>
        <x:v>4.0062867922304735</x:v>
      </x:c>
      <x:c r="M20" s="32" t="n">
        <x:f>1/(2*PI()*($B$7*1000000)*(F20*1E-12))</x:f>
        <x:v>757.8806813899778</x:v>
      </x:c>
      <x:c r="N20" s="66" t="n">
        <x:f>(2*$B$5)/SQRT((2*$B$5)^2+M20^2)</x:f>
        <x:v>0.13081307839203835</x:v>
      </x:c>
      <x:c r="O20" s="64" t="n">
        <x:f>-20*LOG10(N20)</x:f>
        <x:v>17.666976681465222</x:v>
      </x:c>
      <x:c r="P20" s="64" t="n">
        <x:f>$B$4*N20^2</x:f>
        <x:v>22.24567992192204</x:v>
      </x:c>
      <x:c r="Q20" s="64" t="n">
        <x:f>100*N20^2</x:f>
        <x:v>1.711206147840157</x:v>
      </x:c>
      <x:c r="R20" s="30" t="str">
        <x:v>Low Coss; high RDS(on) gives the highest conduction loss in shortlist.</x:v>
      </x:c>
      <x:c r="S20" s="111" t="n">
        <x:f>H20+P20</x:f>
        <x:v>66.44567992192204</x:v>
      </x:c>
      <x:c r="T20" s="111" t="n">
        <x:f>100*S20/$B$4</x:f>
        <x:v>5.111206147840157</x:v>
      </x:c>
      <x:c r="U20" s="30" t="str">
        <x:v>NO / HIGH RISK</x:v>
      </x:c>
      <x:c r="V20" s="30" t="str">
        <x:v>Coss=14 pF is good, but high RDS(on) produces large thermal loss; 100°C current margin is also very small.</x:v>
      </x:c>
    </x:row>
    <x:row r="21">
      <x:c r="A21" s="30" t="str">
        <x:v>IMWH170R650M1</x:v>
      </x:c>
      <x:c r="B21" s="32" t="n">
        <x:v>1700</x:v>
      </x:c>
      <x:c r="C21" s="32" t="n">
        <x:v>7.5</x:v>
      </x:c>
      <x:c r="D21" s="34" t="n">
        <x:v>0.65</x:v>
      </x:c>
      <x:c r="E21" s="34" t="n">
        <x:v>15</x:v>
      </x:c>
      <x:c r="F21" s="34" t="n">
        <x:f>E21/$B$8</x:f>
        <x:v>7.5</x:v>
      </x:c>
      <x:c r="G21" s="34" t="n">
        <x:f>D21*$B$8</x:f>
        <x:v>1.3</x:v>
      </x:c>
      <x:c r="H21" s="64" t="n">
        <x:f>$B$10^2*G21</x:f>
        <x:v>33.8</x:v>
      </x:c>
      <x:c r="I21" s="64" t="n">
        <x:f>H21/$B$8</x:f>
        <x:v>16.9</x:v>
      </x:c>
      <x:c r="J21" s="64" t="n">
        <x:f>100*H21/$B$4</x:f>
        <x:v>2.5999999999999996</x:v>
      </x:c>
      <x:c r="K21" s="32" t="n">
        <x:f>100*(C21/$B$10-1)</x:f>
        <x:v>47.087101353638026</x:v>
      </x:c>
      <x:c r="L21" s="32" t="n">
        <x:f>100*(C21/$B$11-1)</x:f>
        <x:v>4.0062867922304735</x:v>
      </x:c>
      <x:c r="M21" s="32" t="n">
        <x:f>1/(2*PI()*($B$7*1000000)*(F21*1E-12))</x:f>
        <x:v>707.355302630646</x:v>
      </x:c>
      <x:c r="N21" s="66" t="n">
        <x:f>(2*$B$5)/SQRT((2*$B$5)^2+M21^2)</x:f>
        <x:v>0.13997977526870328</x:v>
      </x:c>
      <x:c r="O21" s="64" t="n">
        <x:f>-20*LOG10(N21)</x:f>
        <x:v>17.07869416124996</x:v>
      </x:c>
      <x:c r="P21" s="64" t="n">
        <x:f>$B$4*N21^2</x:f>
        <x:v>25.472638729559677</x:v>
      </x:c>
      <x:c r="Q21" s="64" t="n">
        <x:f>100*N21^2</x:f>
        <x:v>1.9594337484276674</x:v>
      </x:c>
      <x:c r="R21" s="30" t="str">
        <x:v>Balanced low-Coss TO-247 option; still needs thermal validation.</x:v>
      </x:c>
      <x:c r="S21" s="111" t="n">
        <x:f>H21+P21</x:f>
        <x:v>59.272638729559674</x:v>
      </x:c>
      <x:c r="T21" s="111" t="n">
        <x:f>100*S21/$B$4</x:f>
        <x:v>4.559433748427668</x:v>
      </x:c>
      <x:c r="U21" s="30" t="str">
        <x:v>POSSIBLE</x:v>
      </x:c>
      <x:c r="V21" s="30" t="str">
        <x:v>Coss=15 pF and 7.5 A make it attractive. TO-247 is convenient, but it needs a very strong forced-air/cold-plate thermal solution.</x:v>
      </x:c>
    </x:row>
    <x:row r="23">
      <x:c r="S23" s="115" t="str">
        <x:v>TOTAL LOSS DEFINITION ON THIS SHEET:
Estimated Total Loss = 25°C conduction I²R loss in the ON MOSFET pair + estimated RF power leaked into the OFF branch at 30 MHz. This is an 'unwanted RF power' screening metric. It must NOT be treated as total heatsink power: leaked power is mostly transferred through the OFF capacitance, whereas the thermal sheet separately estimates MOSFET heat using hot RDS(on) plus an RF/parasitic margin.</x:v>
      </x:c>
      <x:c r="T23" s="115"/>
      <x:c r="U23" s="115"/>
      <x:c r="V23" s="115"/>
    </x:row>
    <x:row r="24">
      <x:c r="S24" s="115"/>
      <x:c r="T24" s="115"/>
      <x:c r="U24" s="115"/>
      <x:c r="V24" s="115"/>
    </x:row>
    <x:row r="25">
      <x:c r="A25" s="51" t="str">
        <x:v>Frequency (MHz)</x:v>
      </x:c>
      <x:c r="B25" s="51" t="str">
        <x:v>IMZC140R029M2H Iso (dB)</x:v>
      </x:c>
      <x:c r="C25" s="51" t="str">
        <x:v>IMWH170R1K0M1 Iso (dB)</x:v>
      </x:c>
      <x:c r="D25" s="51" t="str">
        <x:v>B2M600170H Iso (dB)</x:v>
      </x:c>
      <x:c r="E25" s="51" t="str">
        <x:v>IMBF170R650M1 Iso (dB)</x:v>
      </x:c>
      <x:c r="F25" s="51" t="str">
        <x:v>MSC750SMA170B Iso (dB)</x:v>
      </x:c>
      <x:c r="G25" s="51" t="str">
        <x:v>DIW170SIC750 Iso (dB)</x:v>
      </x:c>
      <x:c r="H25" s="51" t="str">
        <x:v>IMWH170R650M1 Iso (dB)</x:v>
      </x:c>
      <x:c r="S25" s="115"/>
      <x:c r="T25" s="115"/>
      <x:c r="U25" s="115"/>
      <x:c r="V25" s="115"/>
    </x:row>
    <x:row r="26">
      <x:c r="A26" t="n">
        <x:v>1</x:v>
      </x:c>
      <x:c r="B26" s="68" t="n">
        <x:f>-20*LOG10((2*$B$5)/SQRT((2*$B$5)^2+(1/(2*PI()*($A26*1000000)*($F$15*1E-12)))^2))</x:f>
        <x:v>33.53743019267</x:v>
      </x:c>
      <x:c r="C26" s="68" t="n">
        <x:f>-20*LOG10((2*$B$5)/SQRT((2*$B$5)^2+(1/(2*PI()*($A26*1000000)*($F$16*1E-12)))^2))</x:f>
        <x:v>50.057045409052996</x:v>
      </x:c>
      <x:c r="D26" s="68" t="n">
        <x:f>-20*LOG10((2*$B$5)/SQRT((2*$B$5)^2+(1/(2*PI()*($A26*1000000)*($F$17*1E-12)))^2))</x:f>
        <x:v>49.2292007070514</x:v>
      </x:c>
      <x:c r="E26" s="68" t="n">
        <x:f>-20*LOG10((2*$B$5)/SQRT((2*$B$5)^2+(1/(2*PI()*($A26*1000000)*($F$18*1E-12)))^2))</x:f>
        <x:v>48.4734393476584</x:v>
      </x:c>
      <x:c r="F26" s="68" t="n">
        <x:f>-20*LOG10((2*$B$5)/SQRT((2*$B$5)^2+(1/(2*PI()*($A26*1000000)*($F$19*1E-12)))^2))</x:f>
        <x:v>47.1345258435088</x:v>
      </x:c>
      <x:c r="G26" s="68" t="n">
        <x:f>-20*LOG10((2*$B$5)/SQRT((2*$B$5)^2+(1/(2*PI()*($A26*1000000)*($F$20*1E-12)))^2))</x:f>
        <x:v>47.1345258435088</x:v>
      </x:c>
      <x:c r="H26" s="68" t="n">
        <x:f>-20*LOG10((2*$B$5)/SQRT((2*$B$5)^2+(1/(2*PI()*($A26*1000000)*($F$21*1E-12)))^2))</x:f>
        <x:v>46.535273806014395</x:v>
      </x:c>
      <x:c r="S26" s="115"/>
      <x:c r="T26" s="115"/>
      <x:c r="U26" s="115"/>
      <x:c r="V26" s="115"/>
    </x:row>
    <x:row r="27">
      <x:c r="A27" t="n">
        <x:v>2</x:v>
      </x:c>
      <x:c r="B27" s="68" t="n">
        <x:f>-20*LOG10((2*$B$5)/SQRT((2*$B$5)^2+(1/(2*PI()*($A27*1000000)*($F$15*1E-12)))^2))</x:f>
        <x:v>27.5225962737756</x:v>
      </x:c>
      <x:c r="C27" s="68" t="n">
        <x:f>-20*LOG10((2*$B$5)/SQRT((2*$B$5)^2+(1/(2*PI()*($A27*1000000)*($F$16*1E-12)))^2))</x:f>
        <x:v>44.0365740820426</x:v>
      </x:c>
      <x:c r="D27" s="68" t="n">
        <x:f>-20*LOG10((2*$B$5)/SQRT((2*$B$5)^2+(1/(2*PI()*($A27*1000000)*($F$17*1E-12)))^2))</x:f>
        <x:v>43.2087563823512</x:v>
      </x:c>
      <x:c r="E27" s="68" t="n">
        <x:f>-20*LOG10((2*$B$5)/SQRT((2*$B$5)^2+(1/(2*PI()*($A27*1000000)*($F$18*1E-12)))^2))</x:f>
        <x:v>42.4530245965962</x:v>
      </x:c>
      <x:c r="F27" s="68" t="n">
        <x:f>-20*LOG10((2*$B$5)/SQRT((2*$B$5)^2+(1/(2*PI()*($A27*1000000)*($F$19*1E-12)))^2))</x:f>
        <x:v>41.1141779533472</x:v>
      </x:c>
      <x:c r="G27" s="68" t="n">
        <x:f>-20*LOG10((2*$B$5)/SQRT((2*$B$5)^2+(1/(2*PI()*($A27*1000000)*($F$20*1E-12)))^2))</x:f>
        <x:v>41.1141779533472</x:v>
      </x:c>
      <x:c r="H27" s="68" t="n">
        <x:f>-20*LOG10((2*$B$5)/SQRT((2*$B$5)^2+(1/(2*PI()*($A27*1000000)*($F$21*1E-12)))^2))</x:f>
        <x:v>40.514963202917606</x:v>
      </x:c>
      <x:c r="S27" s="115"/>
      <x:c r="T27" s="115"/>
      <x:c r="U27" s="115"/>
      <x:c r="V27" s="115"/>
    </x:row>
    <x:row r="28">
      <x:c r="A28" t="n">
        <x:v>3</x:v>
      </x:c>
      <x:c r="B28" s="68" t="n">
        <x:f>-20*LOG10((2*$B$5)/SQRT((2*$B$5)^2+(1/(2*PI()*($A28*1000000)*($F$15*1E-12)))^2))</x:f>
        <x:v>24.0103641040068</x:v>
      </x:c>
      <x:c r="C28" s="68" t="n">
        <x:f>-20*LOG10((2*$B$5)/SQRT((2*$B$5)^2+(1/(2*PI()*($A28*1000000)*($F$16*1E-12)))^2))</x:f>
        <x:v>40.514963202917606</x:v>
      </x:c>
      <x:c r="D28" s="68" t="n">
        <x:f>-20*LOG10((2*$B$5)/SQRT((2*$B$5)^2+(1/(2*PI()*($A28*1000000)*($F$17*1E-12)))^2))</x:f>
        <x:v>39.6871905031508</x:v>
      </x:c>
      <x:c r="E28" s="68" t="n">
        <x:f>-20*LOG10((2*$B$5)/SQRT((2*$B$5)^2+(1/(2*PI()*($A28*1000000)*($F$18*1E-12)))^2))</x:f>
        <x:v>38.9315080016362</x:v>
      </x:c>
      <x:c r="F28" s="68" t="n">
        <x:f>-20*LOG10((2*$B$5)/SQRT((2*$B$5)^2+(1/(2*PI()*($A28*1000000)*($F$19*1E-12)))^2))</x:f>
        <x:v>37.5927727782664</x:v>
      </x:c>
      <x:c r="G28" s="68" t="n">
        <x:f>-20*LOG10((2*$B$5)/SQRT((2*$B$5)^2+(1/(2*PI()*($A28*1000000)*($F$20*1E-12)))^2))</x:f>
        <x:v>37.5927727782664</x:v>
      </x:c>
      <x:c r="H28" s="68" t="n">
        <x:f>-20*LOG10((2*$B$5)/SQRT((2*$B$5)^2+(1/(2*PI()*($A28*1000000)*($F$21*1E-12)))^2))</x:f>
        <x:v>36.993620162618</x:v>
      </x:c>
    </x:row>
    <x:row r="29">
      <x:c r="A29" t="n">
        <x:v>4</x:v>
      </x:c>
      <x:c r="B29" s="68" t="n">
        <x:f>-20*LOG10((2*$B$5)/SQRT((2*$B$5)^2+(1/(2*PI()*($A29*1000000)*($F$15*1E-12)))^2))</x:f>
        <x:v>21.524984088258996</x:v>
      </x:c>
      <x:c r="C29" s="68" t="n">
        <x:f>-20*LOG10((2*$B$5)/SQRT((2*$B$5)^2+(1/(2*PI()*($A29*1000000)*($F$16*1E-12)))^2))</x:f>
        <x:v>38.016488475771204</x:v>
      </x:c>
      <x:c r="D29" s="68" t="n">
        <x:f>-20*LOG10((2*$B$5)/SQRT((2*$B$5)^2+(1/(2*PI()*($A29*1000000)*($F$17*1E-12)))^2))</x:f>
        <x:v>37.1887787676552</x:v>
      </x:c>
      <x:c r="E29" s="68" t="n">
        <x:f>-20*LOG10((2*$B$5)/SQRT((2*$B$5)^2+(1/(2*PI()*($A29*1000000)*($F$18*1E-12)))^2))</x:f>
        <x:v>36.4331652532522</x:v>
      </x:c>
      <x:c r="F29" s="68" t="n">
        <x:f>-20*LOG10((2*$B$5)/SQRT((2*$B$5)^2+(1/(2*PI()*($A29*1000000)*($F$19*1E-12)))^2))</x:f>
        <x:v>35.094585986315195</x:v>
      </x:c>
      <x:c r="G29" s="68" t="n">
        <x:f>-20*LOG10((2*$B$5)/SQRT((2*$B$5)^2+(1/(2*PI()*($A29*1000000)*($F$20*1E-12)))^2))</x:f>
        <x:v>35.094585986315195</x:v>
      </x:c>
      <x:c r="H29" s="68" t="n">
        <x:f>-20*LOG10((2*$B$5)/SQRT((2*$B$5)^2+(1/(2*PI()*($A29*1000000)*($F$21*1E-12)))^2))</x:f>
        <x:v>34.4955203376808</x:v>
      </x:c>
    </x:row>
    <x:row r="30">
      <x:c r="A30" t="n">
        <x:v>5</x:v>
      </x:c>
      <x:c r="B30" s="68" t="n">
        <x:f>-20*LOG10((2*$B$5)/SQRT((2*$B$5)^2+(1/(2*PI()*($A30*1000000)*($F$15*1E-12)))^2))</x:f>
        <x:v>19.6039451240885</x:v>
      </x:c>
      <x:c r="C30" s="68" t="n">
        <x:f>-20*LOG10((2*$B$5)/SQRT((2*$B$5)^2+(1/(2*PI()*($A30*1000000)*($F$16*1E-12)))^2))</x:f>
        <x:v>36.0786739059004</x:v>
      </x:c>
      <x:c r="D30" s="68" t="n">
        <x:f>-20*LOG10((2*$B$5)/SQRT((2*$B$5)^2+(1/(2*PI()*($A30*1000000)*($F$17*1E-12)))^2))</x:f>
        <x:v>35.2510451729216</x:v>
      </x:c>
      <x:c r="E30" s="68" t="n">
        <x:f>-20*LOG10((2*$B$5)/SQRT((2*$B$5)^2+(1/(2*PI()*($A30*1000000)*($F$18*1E-12)))^2))</x:f>
        <x:v>34.4955203376808</x:v>
      </x:c>
      <x:c r="F30" s="68" t="n">
        <x:f>-20*LOG10((2*$B$5)/SQRT((2*$B$5)^2+(1/(2*PI()*($A30*1000000)*($F$19*1E-12)))^2))</x:f>
        <x:v>33.1571415323512</x:v>
      </x:c>
      <x:c r="G30" s="68" t="n">
        <x:f>-20*LOG10((2*$B$5)/SQRT((2*$B$5)^2+(1/(2*PI()*($A30*1000000)*($F$20*1E-12)))^2))</x:f>
        <x:v>33.1571415323512</x:v>
      </x:c>
      <x:c r="H30" s="68" t="n">
        <x:f>-20*LOG10((2*$B$5)/SQRT((2*$B$5)^2+(1/(2*PI()*($A30*1000000)*($F$21*1E-12)))^2))</x:f>
        <x:v>32.5581876613004</x:v>
      </x:c>
    </x:row>
    <x:row r="31">
      <x:c r="A31" t="n">
        <x:v>6</x:v>
      </x:c>
      <x:c r="B31" s="68" t="n">
        <x:f>-20*LOG10((2*$B$5)/SQRT((2*$B$5)^2+(1/(2*PI()*($A31*1000000)*($F$15*1E-12)))^2))</x:f>
        <x:v>18.04120344387208</x:v>
      </x:c>
      <x:c r="C31" s="68" t="n">
        <x:f>-20*LOG10((2*$B$5)/SQRT((2*$B$5)^2+(1/(2*PI()*($A31*1000000)*($F$16*1E-12)))^2))</x:f>
        <x:v>34.4955203376808</x:v>
      </x:c>
      <x:c r="D31" s="68" t="n">
        <x:f>-20*LOG10((2*$B$5)/SQRT((2*$B$5)^2+(1/(2*PI()*($A31*1000000)*($F$17*1E-12)))^2))</x:f>
        <x:v>33.667990552735596</x:v>
      </x:c>
      <x:c r="E31" s="68" t="n">
        <x:f>-20*LOG10((2*$B$5)/SQRT((2*$B$5)^2+(1/(2*PI()*($A31*1000000)*($F$18*1E-12)))^2))</x:f>
        <x:v>32.9125740748028</x:v>
      </x:c>
      <x:c r="F31" s="68" t="n">
        <x:f>-20*LOG10((2*$B$5)/SQRT((2*$B$5)^2+(1/(2*PI()*($A31*1000000)*($F$19*1E-12)))^2))</x:f>
        <x:v>31.5744401959386</x:v>
      </x:c>
      <x:c r="G31" s="68" t="n">
        <x:f>-20*LOG10((2*$B$5)/SQRT((2*$B$5)^2+(1/(2*PI()*($A31*1000000)*($F$20*1E-12)))^2))</x:f>
        <x:v>31.5744401959386</x:v>
      </x:c>
      <x:c r="H31" s="68" t="n">
        <x:f>-20*LOG10((2*$B$5)/SQRT((2*$B$5)^2+(1/(2*PI()*($A31*1000000)*($F$21*1E-12)))^2))</x:f>
        <x:v>30.975622885211</x:v>
      </x:c>
    </x:row>
    <x:row r="32">
      <x:c r="A32" t="n">
        <x:v>7</x:v>
      </x:c>
      <x:c r="B32" s="68" t="n">
        <x:f>-20*LOG10((2*$B$5)/SQRT((2*$B$5)^2+(1/(2*PI()*($A32*1000000)*($F$15*1E-12)))^2))</x:f>
        <x:v>16.72681907426594</x:v>
      </x:c>
      <x:c r="C32" s="68" t="n">
        <x:f>-20*LOG10((2*$B$5)/SQRT((2*$B$5)^2+(1/(2*PI()*($A32*1000000)*($F$16*1E-12)))^2))</x:f>
        <x:v>33.1571415323512</x:v>
      </x:c>
      <x:c r="D32" s="68" t="n">
        <x:f>-20*LOG10((2*$B$5)/SQRT((2*$B$5)^2+(1/(2*PI()*($A32*1000000)*($F$17*1E-12)))^2))</x:f>
        <x:v>32.3297286553998</x:v>
      </x:c>
      <x:c r="E32" s="68" t="n">
        <x:f>-20*LOG10((2*$B$5)/SQRT((2*$B$5)^2+(1/(2*PI()*($A32*1000000)*($F$18*1E-12)))^2))</x:f>
        <x:v>31.5744401959386</x:v>
      </x:c>
      <x:c r="F32" s="68" t="n">
        <x:f>-20*LOG10((2*$B$5)/SQRT((2*$B$5)^2+(1/(2*PI()*($A32*1000000)*($F$19*1E-12)))^2))</x:f>
        <x:v>30.2365956591624</x:v>
      </x:c>
      <x:c r="G32" s="68" t="n">
        <x:f>-20*LOG10((2*$B$5)/SQRT((2*$B$5)^2+(1/(2*PI()*($A32*1000000)*($F$20*1E-12)))^2))</x:f>
        <x:v>30.2365956591624</x:v>
      </x:c>
      <x:c r="H32" s="68" t="n">
        <x:f>-20*LOG10((2*$B$5)/SQRT((2*$B$5)^2+(1/(2*PI()*($A32*1000000)*($F$21*1E-12)))^2))</x:f>
        <x:v>29.637939657519002</x:v>
      </x:c>
    </x:row>
    <x:row r="33">
      <x:c r="A33" t="n">
        <x:v>8</x:v>
      </x:c>
      <x:c r="B33" s="68" t="n">
        <x:f>-20*LOG10((2*$B$5)/SQRT((2*$B$5)^2+(1/(2*PI()*($A33*1000000)*($F$15*1E-12)))^2))</x:f>
        <x:v>15.595137302181541</x:v>
      </x:c>
      <x:c r="C33" s="68" t="n">
        <x:f>-20*LOG10((2*$B$5)/SQRT((2*$B$5)^2+(1/(2*PI()*($A33*1000000)*($F$16*1E-12)))^2))</x:f>
        <x:v>31.997945181679597</x:v>
      </x:c>
      <x:c r="D33" s="68" t="n">
        <x:f>-20*LOG10((2*$B$5)/SQRT((2*$B$5)^2+(1/(2*PI()*($A33*1000000)*($F$17*1E-12)))^2))</x:f>
        <x:v>31.170667157404203</x:v>
      </x:c>
      <x:c r="E33" s="68" t="n">
        <x:f>-20*LOG10((2*$B$5)/SQRT((2*$B$5)^2+(1/(2*PI()*($A33*1000000)*($F$18*1E-12)))^2))</x:f>
        <x:v>30.4155263575222</x:v>
      </x:c>
      <x:c r="F33" s="68" t="n">
        <x:f>-20*LOG10((2*$B$5)/SQRT((2*$B$5)^2+(1/(2*PI()*($A33*1000000)*($F$19*1E-12)))^2))</x:f>
        <x:v>29.0780155203292</x:v>
      </x:c>
      <x:c r="G33" s="68" t="n">
        <x:f>-20*LOG10((2*$B$5)/SQRT((2*$B$5)^2+(1/(2*PI()*($A33*1000000)*($F$20*1E-12)))^2))</x:f>
        <x:v>29.0780155203292</x:v>
      </x:c>
      <x:c r="H33" s="68" t="n">
        <x:f>-20*LOG10((2*$B$5)/SQRT((2*$B$5)^2+(1/(2*PI()*($A33*1000000)*($F$21*1E-12)))^2))</x:f>
        <x:v>28.4795455364246</x:v>
      </x:c>
    </x:row>
    <x:row r="34">
      <x:c r="A34" t="n">
        <x:v>9</x:v>
      </x:c>
      <x:c r="B34" s="68" t="n">
        <x:f>-20*LOG10((2*$B$5)/SQRT((2*$B$5)^2+(1/(2*PI()*($A34*1000000)*($F$15*1E-12)))^2))</x:f>
        <x:v>14.603779167159681</x:v>
      </x:c>
      <x:c r="C34" s="68" t="n">
        <x:f>-20*LOG10((2*$B$5)/SQRT((2*$B$5)^2+(1/(2*PI()*($A34*1000000)*($F$16*1E-12)))^2))</x:f>
        <x:v>30.975622885211</x:v>
      </x:c>
      <x:c r="D34" s="68" t="n">
        <x:f>-20*LOG10((2*$B$5)/SQRT((2*$B$5)^2+(1/(2*PI()*($A34*1000000)*($F$17*1E-12)))^2))</x:f>
        <x:v>30.148497640678798</x:v>
      </x:c>
      <x:c r="E34" s="68" t="n">
        <x:f>-20*LOG10((2*$B$5)/SQRT((2*$B$5)^2+(1/(2*PI()*($A34*1000000)*($F$18*1E-12)))^2))</x:f>
        <x:v>29.393524118364</x:v>
      </x:c>
      <x:c r="F34" s="68" t="n">
        <x:f>-20*LOG10((2*$B$5)/SQRT((2*$B$5)^2+(1/(2*PI()*($A34*1000000)*($F$19*1E-12)))^2))</x:f>
        <x:v>28.056391271258796</x:v>
      </x:c>
      <x:c r="G34" s="68" t="n">
        <x:f>-20*LOG10((2*$B$5)/SQRT((2*$B$5)^2+(1/(2*PI()*($A34*1000000)*($F$20*1E-12)))^2))</x:f>
        <x:v>28.056391271258796</x:v>
      </x:c>
      <x:c r="H34" s="68" t="n">
        <x:f>-20*LOG10((2*$B$5)/SQRT((2*$B$5)^2+(1/(2*PI()*($A34*1000000)*($F$21*1E-12)))^2))</x:f>
        <x:v>27.4581319675378</x:v>
      </x:c>
    </x:row>
    <x:row r="35">
      <x:c r="A35" t="n">
        <x:v>10</x:v>
      </x:c>
      <x:c r="B35" s="68" t="n">
        <x:f>-20*LOG10((2*$B$5)/SQRT((2*$B$5)^2+(1/(2*PI()*($A35*1000000)*($F$15*1E-12)))^2))</x:f>
        <x:v>13.723778627401979</x:v>
      </x:c>
      <x:c r="C35" s="68" t="n">
        <x:f>-20*LOG10((2*$B$5)/SQRT((2*$B$5)^2+(1/(2*PI()*($A35*1000000)*($F$16*1E-12)))^2))</x:f>
        <x:v>30.0612867470264</x:v>
      </x:c>
      <x:c r="D35" s="68" t="n">
        <x:f>-20*LOG10((2*$B$5)/SQRT((2*$B$5)^2+(1/(2*PI()*($A35*1000000)*($F$17*1E-12)))^2))</x:f>
        <x:v>29.2343321893582</x:v>
      </x:c>
      <x:c r="E35" s="68" t="n">
        <x:f>-20*LOG10((2*$B$5)/SQRT((2*$B$5)^2+(1/(2*PI()*($A35*1000000)*($F$18*1E-12)))^2))</x:f>
        <x:v>28.4795455364246</x:v>
      </x:c>
      <x:c r="F35" s="68" t="n">
        <x:f>-20*LOG10((2*$B$5)/SQRT((2*$B$5)^2+(1/(2*PI()*($A35*1000000)*($F$19*1E-12)))^2))</x:f>
        <x:v>27.1428348940908</x:v>
      </x:c>
      <x:c r="G35" s="68" t="n">
        <x:f>-20*LOG10((2*$B$5)/SQRT((2*$B$5)^2+(1/(2*PI()*($A35*1000000)*($F$20*1E-12)))^2))</x:f>
        <x:v>27.1428348940908</x:v>
      </x:c>
      <x:c r="H35" s="68" t="n">
        <x:f>-20*LOG10((2*$B$5)/SQRT((2*$B$5)^2+(1/(2*PI()*($A35*1000000)*($F$21*1E-12)))^2))</x:f>
        <x:v>26.544810880714202</x:v>
      </x:c>
    </x:row>
    <x:row r="36">
      <x:c r="A36" t="n">
        <x:v>11</x:v>
      </x:c>
      <x:c r="B36" s="68" t="n">
        <x:f>-20*LOG10((2*$B$5)/SQRT((2*$B$5)^2+(1/(2*PI()*($A36*1000000)*($F$15*1E-12)))^2))</x:f>
        <x:v>12.93444598753786</x:v>
      </x:c>
      <x:c r="C36" s="68" t="n">
        <x:f>-20*LOG10((2*$B$5)/SQRT((2*$B$5)^2+(1/(2*PI()*($A36*1000000)*($F$16*1E-12)))^2))</x:f>
        <x:v>29.2343321893582</x:v>
      </x:c>
      <x:c r="D36" s="68" t="n">
        <x:f>-20*LOG10((2*$B$5)/SQRT((2*$B$5)^2+(1/(2*PI()*($A36*1000000)*($F$17*1E-12)))^2))</x:f>
        <x:v>28.407566203403796</x:v>
      </x:c>
      <x:c r="E36" s="68" t="n">
        <x:f>-20*LOG10((2*$B$5)/SQRT((2*$B$5)^2+(1/(2*PI()*($A36*1000000)*($F$18*1E-12)))^2))</x:f>
        <x:v>27.6529859824456</x:v>
      </x:c>
      <x:c r="F36" s="68" t="n">
        <x:f>-20*LOG10((2*$B$5)/SQRT((2*$B$5)^2+(1/(2*PI()*($A36*1000000)*($F$19*1E-12)))^2))</x:f>
        <x:v>26.316741674954798</x:v>
      </x:c>
      <x:c r="G36" s="68" t="n">
        <x:f>-20*LOG10((2*$B$5)/SQRT((2*$B$5)^2+(1/(2*PI()*($A36*1000000)*($F$20*1E-12)))^2))</x:f>
        <x:v>26.316741674954798</x:v>
      </x:c>
      <x:c r="H36" s="68" t="n">
        <x:f>-20*LOG10((2*$B$5)/SQRT((2*$B$5)^2+(1/(2*PI()*($A36*1000000)*($F$21*1E-12)))^2))</x:f>
        <x:v>25.7189775037584</x:v>
      </x:c>
    </x:row>
    <x:row r="37">
      <x:c r="A37" t="n">
        <x:v>12</x:v>
      </x:c>
      <x:c r="B37" s="68" t="n">
        <x:f>-20*LOG10((2*$B$5)/SQRT((2*$B$5)^2+(1/(2*PI()*($A37*1000000)*($F$15*1E-12)))^2))</x:f>
        <x:v>12.22047613186864</x:v>
      </x:c>
      <x:c r="C37" s="68" t="n">
        <x:f>-20*LOG10((2*$B$5)/SQRT((2*$B$5)^2+(1/(2*PI()*($A37*1000000)*($F$16*1E-12)))^2))</x:f>
        <x:v>28.4795455364246</x:v>
      </x:c>
      <x:c r="D37" s="68" t="n">
        <x:f>-20*LOG10((2*$B$5)/SQRT((2*$B$5)^2+(1/(2*PI()*($A37*1000000)*($F$17*1E-12)))^2))</x:f>
        <x:v>27.6529859824456</x:v>
      </x:c>
      <x:c r="E37" s="68" t="n">
        <x:f>-20*LOG10((2*$B$5)/SQRT((2*$B$5)^2+(1/(2*PI()*($A37*1000000)*($F$18*1E-12)))^2))</x:f>
        <x:v>26.898631723804</x:v>
      </x:c>
      <x:c r="F37" s="68" t="n">
        <x:f>-20*LOG10((2*$B$5)/SQRT((2*$B$5)^2+(1/(2*PI()*($A37*1000000)*($F$19*1E-12)))^2))</x:f>
        <x:v>25.5628977878676</x:v>
      </x:c>
      <x:c r="G37" s="68" t="n">
        <x:f>-20*LOG10((2*$B$5)/SQRT((2*$B$5)^2+(1/(2*PI()*($A37*1000000)*($F$20*1E-12)))^2))</x:f>
        <x:v>25.5628977878676</x:v>
      </x:c>
      <x:c r="H37" s="68" t="n">
        <x:f>-20*LOG10((2*$B$5)/SQRT((2*$B$5)^2+(1/(2*PI()*($A37*1000000)*($F$21*1E-12)))^2))</x:f>
        <x:v>24.965417946355004</x:v>
      </x:c>
    </x:row>
    <x:row r="38">
      <x:c r="A38" t="n">
        <x:v>13</x:v>
      </x:c>
      <x:c r="B38" s="68" t="n">
        <x:f>-20*LOG10((2*$B$5)/SQRT((2*$B$5)^2+(1/(2*PI()*($A38*1000000)*($F$15*1E-12)))^2))</x:f>
        <x:v>11.57021852219686</x:v>
      </x:c>
      <x:c r="C38" s="68" t="n">
        <x:f>-20*LOG10((2*$B$5)/SQRT((2*$B$5)^2+(1/(2*PI()*($A38*1000000)*($F$16*1E-12)))^2))</x:f>
        <x:v>27.7853733373278</x:v>
      </x:c>
      <x:c r="D38" s="68" t="n">
        <x:f>-20*LOG10((2*$B$5)/SQRT((2*$B$5)^2+(1/(2*PI()*($A38*1000000)*($F$17*1E-12)))^2))</x:f>
        <x:v>26.959038048687802</x:v>
      </x:c>
      <x:c r="E38" s="68" t="n">
        <x:f>-20*LOG10((2*$B$5)/SQRT((2*$B$5)^2+(1/(2*PI()*($A38*1000000)*($F$18*1E-12)))^2))</x:f>
        <x:v>26.2049292474302</x:v>
      </x:c>
      <x:c r="F38" s="68" t="n">
        <x:f>-20*LOG10((2*$B$5)/SQRT((2*$B$5)^2+(1/(2*PI()*($A38*1000000)*($F$19*1E-12)))^2))</x:f>
        <x:v>24.8697496176972</x:v>
      </x:c>
      <x:c r="G38" s="68" t="n">
        <x:f>-20*LOG10((2*$B$5)/SQRT((2*$B$5)^2+(1/(2*PI()*($A38*1000000)*($F$20*1E-12)))^2))</x:f>
        <x:v>24.8697496176972</x:v>
      </x:c>
      <x:c r="H38" s="68" t="n">
        <x:f>-20*LOG10((2*$B$5)/SQRT((2*$B$5)^2+(1/(2*PI()*($A38*1000000)*($F$21*1E-12)))^2))</x:f>
        <x:v>24.2725785230752</x:v>
      </x:c>
    </x:row>
    <x:row r="39">
      <x:c r="A39" t="n">
        <x:v>14</x:v>
      </x:c>
      <x:c r="B39" s="68" t="n">
        <x:f>-20*LOG10((2*$B$5)/SQRT((2*$B$5)^2+(1/(2*PI()*($A39*1000000)*($F$15*1E-12)))^2))</x:f>
        <x:v>10.97459041670254</x:v>
      </x:c>
      <x:c r="C39" s="68" t="n">
        <x:f>-20*LOG10((2*$B$5)/SQRT((2*$B$5)^2+(1/(2*PI()*($A39*1000000)*($F$16*1E-12)))^2))</x:f>
        <x:v>27.1428348940908</x:v>
      </x:c>
      <x:c r="D39" s="68" t="n">
        <x:f>-20*LOG10((2*$B$5)/SQRT((2*$B$5)^2+(1/(2*PI()*($A39*1000000)*($F$17*1E-12)))^2))</x:f>
        <x:v>26.316741674954798</x:v>
      </x:c>
      <x:c r="E39" s="68" t="n">
        <x:f>-20*LOG10((2*$B$5)/SQRT((2*$B$5)^2+(1/(2*PI()*($A39*1000000)*($F$18*1E-12)))^2))</x:f>
        <x:v>25.5628977878676</x:v>
      </x:c>
      <x:c r="F39" s="68" t="n">
        <x:f>-20*LOG10((2*$B$5)/SQRT((2*$B$5)^2+(1/(2*PI()*($A39*1000000)*($F$19*1E-12)))^2))</x:f>
        <x:v>24.2283162882744</x:v>
      </x:c>
      <x:c r="G39" s="68" t="n">
        <x:f>-20*LOG10((2*$B$5)/SQRT((2*$B$5)^2+(1/(2*PI()*($A39*1000000)*($F$20*1E-12)))^2))</x:f>
        <x:v>24.2283162882744</x:v>
      </x:c>
      <x:c r="H39" s="68" t="n">
        <x:f>-20*LOG10((2*$B$5)/SQRT((2*$B$5)^2+(1/(2*PI()*($A39*1000000)*($F$21*1E-12)))^2))</x:f>
        <x:v>23.631478281529603</x:v>
      </x:c>
    </x:row>
    <x:row r="40">
      <x:c r="A40" t="n">
        <x:v>15</x:v>
      </x:c>
      <x:c r="B40" s="68" t="n">
        <x:f>-20*LOG10((2*$B$5)/SQRT((2*$B$5)^2+(1/(2*PI()*($A40*1000000)*($F$15*1E-12)))^2))</x:f>
        <x:v>10.426366186462259</x:v>
      </x:c>
      <x:c r="C40" s="68" t="n">
        <x:f>-20*LOG10((2*$B$5)/SQRT((2*$B$5)^2+(1/(2*PI()*($A40*1000000)*($F$16*1E-12)))^2))</x:f>
        <x:v>26.544810880714202</x:v>
      </x:c>
      <x:c r="D40" s="68" t="n">
        <x:f>-20*LOG10((2*$B$5)/SQRT((2*$B$5)^2+(1/(2*PI()*($A40*1000000)*($F$17*1E-12)))^2))</x:f>
        <x:v>25.7189775037584</x:v>
      </x:c>
      <x:c r="E40" s="68" t="n">
        <x:f>-20*LOG10((2*$B$5)/SQRT((2*$B$5)^2+(1/(2*PI()*($A40*1000000)*($F$18*1E-12)))^2))</x:f>
        <x:v>24.965417946355004</x:v>
      </x:c>
      <x:c r="F40" s="68" t="n">
        <x:f>-20*LOG10((2*$B$5)/SQRT((2*$B$5)^2+(1/(2*PI()*($A40*1000000)*($F$19*1E-12)))^2))</x:f>
        <x:v>23.631478281529603</x:v>
      </x:c>
      <x:c r="G40" s="68" t="n">
        <x:f>-20*LOG10((2*$B$5)/SQRT((2*$B$5)^2+(1/(2*PI()*($A40*1000000)*($F$20*1E-12)))^2))</x:f>
        <x:v>23.631478281529603</x:v>
      </x:c>
      <x:c r="H40" s="68" t="n">
        <x:f>-20*LOG10((2*$B$5)/SQRT((2*$B$5)^2+(1/(2*PI()*($A40*1000000)*($F$21*1E-12)))^2))</x:f>
        <x:v>23.034997621553202</x:v>
      </x:c>
    </x:row>
    <x:row r="41">
      <x:c r="A41" t="n">
        <x:v>16</x:v>
      </x:c>
      <x:c r="B41" s="68" t="n">
        <x:f>-20*LOG10((2*$B$5)/SQRT((2*$B$5)^2+(1/(2*PI()*($A41*1000000)*($F$15*1E-12)))^2))</x:f>
        <x:v>9.9196966873441</x:v>
      </x:c>
      <x:c r="C41" s="68" t="n">
        <x:f>-20*LOG10((2*$B$5)/SQRT((2*$B$5)^2+(1/(2*PI()*($A41*1000000)*($F$16*1E-12)))^2))</x:f>
        <x:v>25.9855620197628</x:v>
      </x:c>
      <x:c r="D41" s="68" t="n">
        <x:f>-20*LOG10((2*$B$5)/SQRT((2*$B$5)^2+(1/(2*PI()*($A41*1000000)*($F$17*1E-12)))^2))</x:f>
        <x:v>25.160006223892</x:v>
      </x:c>
      <x:c r="E41" s="68" t="n">
        <x:f>-20*LOG10((2*$B$5)/SQRT((2*$B$5)^2+(1/(2*PI()*($A41*1000000)*($F$18*1E-12)))^2))</x:f>
        <x:v>24.4067503674368</x:v>
      </x:c>
      <x:c r="F41" s="68" t="n">
        <x:f>-20*LOG10((2*$B$5)/SQRT((2*$B$5)^2+(1/(2*PI()*($A41*1000000)*($F$19*1E-12)))^2))</x:f>
        <x:v>23.0734961141646</x:v>
      </x:c>
      <x:c r="G41" s="68" t="n">
        <x:f>-20*LOG10((2*$B$5)/SQRT((2*$B$5)^2+(1/(2*PI()*($A41*1000000)*($F$20*1E-12)))^2))</x:f>
        <x:v>23.0734961141646</x:v>
      </x:c>
      <x:c r="H41" s="68" t="n">
        <x:f>-20*LOG10((2*$B$5)/SQRT((2*$B$5)^2+(1/(2*PI()*($A41*1000000)*($F$21*1E-12)))^2))</x:f>
        <x:v>22.4773969719268</x:v>
      </x:c>
    </x:row>
    <x:row r="42">
      <x:c r="A42" t="n">
        <x:v>17</x:v>
      </x:c>
      <x:c r="B42" s="68" t="n">
        <x:f>-20*LOG10((2*$B$5)/SQRT((2*$B$5)^2+(1/(2*PI()*($A42*1000000)*($F$15*1E-12)))^2))</x:f>
        <x:v>9.44977479788162</x:v>
      </x:c>
      <x:c r="C42" s="68" t="n">
        <x:f>-20*LOG10((2*$B$5)/SQRT((2*$B$5)^2+(1/(2*PI()*($A42*1000000)*($F$16*1E-12)))^2))</x:f>
        <x:v>25.460393935185</x:v>
      </x:c>
      <x:c r="D42" s="68" t="n">
        <x:f>-20*LOG10((2*$B$5)/SQRT((2*$B$5)^2+(1/(2*PI()*($A42*1000000)*($F$17*1E-12)))^2))</x:f>
        <x:v>24.6351334232644</x:v>
      </x:c>
      <x:c r="E42" s="68" t="n">
        <x:f>-20*LOG10((2*$B$5)/SQRT((2*$B$5)^2+(1/(2*PI()*($A42*1000000)*($F$18*1E-12)))^2))</x:f>
        <x:v>23.882200591813397</x:v>
      </x:c>
      <x:c r="F42" s="68" t="n">
        <x:f>-20*LOG10((2*$B$5)/SQRT((2*$B$5)^2+(1/(2*PI()*($A42*1000000)*($F$19*1E-12)))^2))</x:f>
        <x:v>22.549675190565402</x:v>
      </x:c>
      <x:c r="G42" s="68" t="n">
        <x:f>-20*LOG10((2*$B$5)/SQRT((2*$B$5)^2+(1/(2*PI()*($A42*1000000)*($F$20*1E-12)))^2))</x:f>
        <x:v>22.549675190565402</x:v>
      </x:c>
      <x:c r="H42" s="68" t="n">
        <x:f>-20*LOG10((2*$B$5)/SQRT((2*$B$5)^2+(1/(2*PI()*($A42*1000000)*($F$21*1E-12)))^2))</x:f>
        <x:v>21.9539816433438</x:v>
      </x:c>
    </x:row>
    <x:row r="43">
      <x:c r="A43" t="n">
        <x:v>18</x:v>
      </x:c>
      <x:c r="B43" s="68" t="n">
        <x:f>-20*LOG10((2*$B$5)/SQRT((2*$B$5)^2+(1/(2*PI()*($A43*1000000)*($F$15*1E-12)))^2))</x:f>
        <x:v>9.0125968807903</x:v>
      </x:c>
      <x:c r="C43" s="68" t="n">
        <x:f>-20*LOG10((2*$B$5)/SQRT((2*$B$5)^2+(1/(2*PI()*($A43*1000000)*($F$16*1E-12)))^2))</x:f>
        <x:v>24.965417946355004</x:v>
      </x:c>
      <x:c r="D43" s="68" t="n">
        <x:f>-20*LOG10((2*$B$5)/SQRT((2*$B$5)^2+(1/(2*PI()*($A43*1000000)*($F$17*1E-12)))^2))</x:f>
        <x:v>24.140470382951</x:v>
      </x:c>
      <x:c r="E43" s="68" t="n">
        <x:f>-20*LOG10((2*$B$5)/SQRT((2*$B$5)^2+(1/(2*PI()*($A43*1000000)*($F$18*1E-12)))^2))</x:f>
        <x:v>23.3878798504118</x:v>
      </x:c>
      <x:c r="F43" s="68" t="n">
        <x:f>-20*LOG10((2*$B$5)/SQRT((2*$B$5)^2+(1/(2*PI()*($A43*1000000)*($F$19*1E-12)))^2))</x:f>
        <x:v>22.0561265969406</x:v>
      </x:c>
      <x:c r="G43" s="68" t="n">
        <x:f>-20*LOG10((2*$B$5)/SQRT((2*$B$5)^2+(1/(2*PI()*($A43*1000000)*($F$20*1E-12)))^2))</x:f>
        <x:v>22.0561265969406</x:v>
      </x:c>
      <x:c r="H43" s="68" t="n">
        <x:f>-20*LOG10((2*$B$5)/SQRT((2*$B$5)^2+(1/(2*PI()*($A43*1000000)*($F$21*1E-12)))^2))</x:f>
        <x:v>21.4608626226064</x:v>
      </x:c>
    </x:row>
    <x:row r="44">
      <x:c r="A44" t="n">
        <x:v>19</x:v>
      </x:c>
      <x:c r="B44" s="68" t="n">
        <x:f>-20*LOG10((2*$B$5)/SQRT((2*$B$5)^2+(1/(2*PI()*($A44*1000000)*($F$15*1E-12)))^2))</x:f>
        <x:v>8.60478898123906</x:v>
      </x:c>
      <x:c r="C44" s="68" t="n">
        <x:f>-20*LOG10((2*$B$5)/SQRT((2*$B$5)^2+(1/(2*PI()*($A44*1000000)*($F$16*1E-12)))^2))</x:f>
        <x:v>24.497376622889398</x:v>
      </x:c>
      <x:c r="D44" s="68" t="n">
        <x:f>-20*LOG10((2*$B$5)/SQRT((2*$B$5)^2+(1/(2*PI()*($A44*1000000)*($F$17*1E-12)))^2))</x:f>
        <x:v>23.672759632023997</x:v>
      </x:c>
      <x:c r="E44" s="68" t="n">
        <x:f>-20*LOG10((2*$B$5)/SQRT((2*$B$5)^2+(1/(2*PI()*($A44*1000000)*($F$18*1E-12)))^2))</x:f>
        <x:v>22.920530619234</x:v>
      </x:c>
      <x:c r="F44" s="68" t="n">
        <x:f>-20*LOG10((2*$B$5)/SQRT((2*$B$5)^2+(1/(2*PI()*($A44*1000000)*($F$19*1E-12)))^2))</x:f>
        <x:v>21.589592656243003</x:v>
      </x:c>
      <x:c r="G44" s="68" t="n">
        <x:f>-20*LOG10((2*$B$5)/SQRT((2*$B$5)^2+(1/(2*PI()*($A44*1000000)*($F$20*1E-12)))^2))</x:f>
        <x:v>21.589592656243003</x:v>
      </x:c>
      <x:c r="H44" s="68" t="n">
        <x:f>-20*LOG10((2*$B$5)/SQRT((2*$B$5)^2+(1/(2*PI()*($A44*1000000)*($F$21*1E-12)))^2))</x:f>
        <x:v>20.9947821276068</x:v>
      </x:c>
    </x:row>
    <x:row r="45">
      <x:c r="A45" t="n">
        <x:v>20</x:v>
      </x:c>
      <x:c r="B45" s="68" t="n">
        <x:f>-20*LOG10((2*$B$5)/SQRT((2*$B$5)^2+(1/(2*PI()*($A45*1000000)*($F$15*1E-12)))^2))</x:f>
        <x:v>8.22347779330414</x:v>
      </x:c>
      <x:c r="C45" s="68" t="n">
        <x:f>-20*LOG10((2*$B$5)/SQRT((2*$B$5)^2+(1/(2*PI()*($A45*1000000)*($F$16*1E-12)))^2))</x:f>
        <x:v>24.0535141371822</x:v>
      </x:c>
      <x:c r="D45" s="68" t="n">
        <x:f>-20*LOG10((2*$B$5)/SQRT((2*$B$5)^2+(1/(2*PI()*($A45*1000000)*($F$17*1E-12)))^2))</x:f>
        <x:v>23.229245300100597</x:v>
      </x:c>
      <x:c r="E45" s="68" t="n">
        <x:f>-20*LOG10((2*$B$5)/SQRT((2*$B$5)^2+(1/(2*PI()*($A45*1000000)*($F$18*1E-12)))^2))</x:f>
        <x:v>22.4773969719268</x:v>
      </x:c>
      <x:c r="F45" s="68" t="n">
        <x:f>-20*LOG10((2*$B$5)/SQRT((2*$B$5)^2+(1/(2*PI()*($A45*1000000)*($F$19*1E-12)))^2))</x:f>
        <x:v>21.147317280814</x:v>
      </x:c>
      <x:c r="G45" s="68" t="n">
        <x:f>-20*LOG10((2*$B$5)/SQRT((2*$B$5)^2+(1/(2*PI()*($A45*1000000)*($F$20*1E-12)))^2))</x:f>
        <x:v>21.147317280814</x:v>
      </x:c>
      <x:c r="H45" s="68" t="n">
        <x:f>-20*LOG10((2*$B$5)/SQRT((2*$B$5)^2+(1/(2*PI()*($A45*1000000)*($F$21*1E-12)))^2))</x:f>
        <x:v>20.552983960036002</x:v>
      </x:c>
    </x:row>
    <x:row r="46">
      <x:c r="A46" t="n">
        <x:v>21</x:v>
      </x:c>
      <x:c r="B46" s="68" t="n">
        <x:f>-20*LOG10((2*$B$5)/SQRT((2*$B$5)^2+(1/(2*PI()*($A46*1000000)*($F$15*1E-12)))^2))</x:f>
        <x:v>7.866193256914061</x:v>
      </x:c>
      <x:c r="C46" s="68" t="n">
        <x:f>-20*LOG10((2*$B$5)/SQRT((2*$B$5)^2+(1/(2*PI()*($A46*1000000)*($F$16*1E-12)))^2))</x:f>
        <x:v>23.631478281529603</x:v>
      </x:c>
      <x:c r="D46" s="68" t="n">
        <x:f>-20*LOG10((2*$B$5)/SQRT((2*$B$5)^2+(1/(2*PI()*($A46*1000000)*($F$17*1E-12)))^2))</x:f>
        <x:v>22.8075751344806</x:v>
      </x:c>
      <x:c r="E46" s="68" t="n">
        <x:f>-20*LOG10((2*$B$5)/SQRT((2*$B$5)^2+(1/(2*PI()*($A46*1000000)*($F$18*1E-12)))^2))</x:f>
        <x:v>22.0561265969406</x:v>
      </x:c>
      <x:c r="F46" s="68" t="n">
        <x:f>-20*LOG10((2*$B$5)/SQRT((2*$B$5)^2+(1/(2*PI()*($A46*1000000)*($F$19*1E-12)))^2))</x:f>
        <x:v>20.726947989622204</x:v>
      </x:c>
      <x:c r="G46" s="68" t="n">
        <x:f>-20*LOG10((2*$B$5)/SQRT((2*$B$5)^2+(1/(2*PI()*($A46*1000000)*($F$20*1E-12)))^2))</x:f>
        <x:v>20.726947989622204</x:v>
      </x:c>
      <x:c r="H46" s="68" t="n">
        <x:f>-20*LOG10((2*$B$5)/SQRT((2*$B$5)^2+(1/(2*PI()*($A46*1000000)*($F$21*1E-12)))^2))</x:f>
        <x:v>20.1331155226896</x:v>
      </x:c>
    </x:row>
    <x:row r="47">
      <x:c r="A47" t="n">
        <x:v>22</x:v>
      </x:c>
      <x:c r="B47" s="68" t="n">
        <x:f>-20*LOG10((2*$B$5)/SQRT((2*$B$5)^2+(1/(2*PI()*($A47*1000000)*($F$15*1E-12)))^2))</x:f>
        <x:v>7.5307939319309805</x:v>
      </x:c>
      <x:c r="C47" s="68" t="n">
        <x:f>-20*LOG10((2*$B$5)/SQRT((2*$B$5)^2+(1/(2*PI()*($A47*1000000)*($F$16*1E-12)))^2))</x:f>
        <x:v>23.229245300100597</x:v>
      </x:c>
      <x:c r="D47" s="68" t="n">
        <x:f>-20*LOG10((2*$B$5)/SQRT((2*$B$5)^2+(1/(2*PI()*($A47*1000000)*($F$17*1E-12)))^2))</x:f>
        <x:v>22.4057253321332</x:v>
      </x:c>
      <x:c r="E47" s="68" t="n">
        <x:f>-20*LOG10((2*$B$5)/SQRT((2*$B$5)^2+(1/(2*PI()*($A47*1000000)*($F$18*1E-12)))^2))</x:f>
        <x:v>21.654695629537997</x:v>
      </x:c>
      <x:c r="F47" s="68" t="n">
        <x:f>-20*LOG10((2*$B$5)/SQRT((2*$B$5)^2+(1/(2*PI()*($A47*1000000)*($F$19*1E-12)))^2))</x:f>
        <x:v>20.3264607403572</x:v>
      </x:c>
      <x:c r="G47" s="68" t="n">
        <x:f>-20*LOG10((2*$B$5)/SQRT((2*$B$5)^2+(1/(2*PI()*($A47*1000000)*($F$20*1E-12)))^2))</x:f>
        <x:v>20.3264607403572</x:v>
      </x:c>
      <x:c r="H47" s="68" t="n">
        <x:f>-20*LOG10((2*$B$5)/SQRT((2*$B$5)^2+(1/(2*PI()*($A47*1000000)*($F$21*1E-12)))^2))</x:f>
        <x:v>19.73315265163038</x:v>
      </x:c>
    </x:row>
    <x:row r="48">
      <x:c r="A48" t="n">
        <x:v>23</x:v>
      </x:c>
      <x:c r="B48" s="68" t="n">
        <x:f>-20*LOG10((2*$B$5)/SQRT((2*$B$5)^2+(1/(2*PI()*($A48*1000000)*($F$15*1E-12)))^2))</x:f>
        <x:v>7.21540905454212</x:v>
      </x:c>
      <x:c r="C48" s="68" t="n">
        <x:f>-20*LOG10((2*$B$5)/SQRT((2*$B$5)^2+(1/(2*PI()*($A48*1000000)*($F$16*1E-12)))^2))</x:f>
        <x:v>22.8450614436218</x:v>
      </x:c>
      <x:c r="D48" s="68" t="n">
        <x:f>-20*LOG10((2*$B$5)/SQRT((2*$B$5)^2+(1/(2*PI()*($A48*1000000)*($F$17*1E-12)))^2))</x:f>
        <x:v>22.021942094395598</x:v>
      </x:c>
      <x:c r="E48" s="68" t="n">
        <x:f>-20*LOG10((2*$B$5)/SQRT((2*$B$5)^2+(1/(2*PI()*($A48*1000000)*($F$18*1E-12)))^2))</x:f>
        <x:v>21.271350206517397</x:v>
      </x:c>
      <x:c r="F48" s="68" t="n">
        <x:f>-20*LOG10((2*$B$5)/SQRT((2*$B$5)^2+(1/(2*PI()*($A48*1000000)*($F$19*1E-12)))^2))</x:f>
        <x:v>19.94410148423786</x:v>
      </x:c>
      <x:c r="G48" s="68" t="n">
        <x:f>-20*LOG10((2*$B$5)/SQRT((2*$B$5)^2+(1/(2*PI()*($A48*1000000)*($F$20*1E-12)))^2))</x:f>
        <x:v>19.94410148423786</x:v>
      </x:c>
      <x:c r="H48" s="68" t="n">
        <x:f>-20*LOG10((2*$B$5)/SQRT((2*$B$5)^2+(1/(2*PI()*($A48*1000000)*($F$21*1E-12)))^2))</x:f>
        <x:v>19.351341171071482</x:v>
      </x:c>
    </x:row>
    <x:row r="49">
      <x:c r="A49" t="n">
        <x:v>24</x:v>
      </x:c>
      <x:c r="B49" s="68" t="n">
        <x:f>-20*LOG10((2*$B$5)/SQRT((2*$B$5)^2+(1/(2*PI()*($A49*1000000)*($F$15*1E-12)))^2))</x:f>
        <x:v>6.91839299929266</x:v>
      </x:c>
      <x:c r="C49" s="68" t="n">
        <x:f>-20*LOG10((2*$B$5)/SQRT((2*$B$5)^2+(1/(2*PI()*($A49*1000000)*($F$16*1E-12)))^2))</x:f>
        <x:v>22.4773969719268</x:v>
      </x:c>
      <x:c r="D49" s="68" t="n">
        <x:f>-20*LOG10((2*$B$5)/SQRT((2*$B$5)^2+(1/(2*PI()*($A49*1000000)*($F$17*1E-12)))^2))</x:f>
        <x:v>21.654695629537997</x:v>
      </x:c>
      <x:c r="E49" s="68" t="n">
        <x:f>-20*LOG10((2*$B$5)/SQRT((2*$B$5)^2+(1/(2*PI()*($A49*1000000)*($F$18*1E-12)))^2))</x:f>
        <x:v>20.904560468802398</x:v>
      </x:c>
      <x:c r="F49" s="68" t="n">
        <x:f>-20*LOG10((2*$B$5)/SQRT((2*$B$5)^2+(1/(2*PI()*($A49*1000000)*($F$19*1E-12)))^2))</x:f>
        <x:v>19.578340168694922</x:v>
      </x:c>
      <x:c r="G49" s="68" t="n">
        <x:f>-20*LOG10((2*$B$5)/SQRT((2*$B$5)^2+(1/(2*PI()*($A49*1000000)*($F$20*1E-12)))^2))</x:f>
        <x:v>19.578340168694922</x:v>
      </x:c>
      <x:c r="H49" s="68" t="n">
        <x:f>-20*LOG10((2*$B$5)/SQRT((2*$B$5)^2+(1/(2*PI()*($A49*1000000)*($F$21*1E-12)))^2))</x:f>
        <x:v>18.98615089613322</x:v>
      </x:c>
    </x:row>
    <x:row r="50">
      <x:c r="A50" t="n">
        <x:v>25</x:v>
      </x:c>
      <x:c r="B50" s="68" t="n">
        <x:f>-20*LOG10((2*$B$5)/SQRT((2*$B$5)^2+(1/(2*PI()*($A50*1000000)*($F$15*1E-12)))^2))</x:f>
        <x:v>6.6382890938858</x:v>
      </x:c>
      <x:c r="C50" s="68" t="n">
        <x:f>-20*LOG10((2*$B$5)/SQRT((2*$B$5)^2+(1/(2*PI()*($A50*1000000)*($F$16*1E-12)))^2))</x:f>
        <x:v>22.1249095525074</x:v>
      </x:c>
      <x:c r="D50" s="68" t="n">
        <x:f>-20*LOG10((2*$B$5)/SQRT((2*$B$5)^2+(1/(2*PI()*($A50*1000000)*($F$17*1E-12)))^2))</x:f>
        <x:v>21.3026435513328</x:v>
      </x:c>
      <x:c r="E50" s="68" t="n">
        <x:f>-20*LOG10((2*$B$5)/SQRT((2*$B$5)^2+(1/(2*PI()*($A50*1000000)*($F$18*1E-12)))^2))</x:f>
        <x:v>20.552983960036002</x:v>
      </x:c>
      <x:c r="F50" s="68" t="n">
        <x:f>-20*LOG10((2*$B$5)/SQRT((2*$B$5)^2+(1/(2*PI()*($A50*1000000)*($F$19*1E-12)))^2))</x:f>
        <x:v>19.22783413605836</x:v>
      </x:c>
      <x:c r="G50" s="68" t="n">
        <x:f>-20*LOG10((2*$B$5)/SQRT((2*$B$5)^2+(1/(2*PI()*($A50*1000000)*($F$20*1E-12)))^2))</x:f>
        <x:v>19.22783413605836</x:v>
      </x:c>
      <x:c r="H50" s="68" t="n">
        <x:f>-20*LOG10((2*$B$5)/SQRT((2*$B$5)^2+(1/(2*PI()*($A50*1000000)*($F$21*1E-12)))^2))</x:f>
        <x:v>18.63623903161058</x:v>
      </x:c>
    </x:row>
    <x:row r="51">
      <x:c r="A51" t="n">
        <x:v>26</x:v>
      </x:c>
      <x:c r="B51" s="68" t="n">
        <x:f>-20*LOG10((2*$B$5)/SQRT((2*$B$5)^2+(1/(2*PI()*($A51*1000000)*($F$15*1E-12)))^2))</x:f>
        <x:v>6.3738005733789205</x:v>
      </x:c>
      <x:c r="C51" s="68" t="n">
        <x:f>-20*LOG10((2*$B$5)/SQRT((2*$B$5)^2+(1/(2*PI()*($A51*1000000)*($F$16*1E-12)))^2))</x:f>
        <x:v>21.786414841979397</x:v>
      </x:c>
      <x:c r="D51" s="68" t="n">
        <x:f>-20*LOG10((2*$B$5)/SQRT((2*$B$5)^2+(1/(2*PI()*($A51*1000000)*($F$17*1E-12)))^2))</x:f>
        <x:v>20.964601460536198</x:v>
      </x:c>
      <x:c r="E51" s="68" t="n">
        <x:f>-20*LOG10((2*$B$5)/SQRT((2*$B$5)^2+(1/(2*PI()*($A51*1000000)*($F$18*1E-12)))^2))</x:f>
        <x:v>20.2154362080896</x:v>
      </x:c>
      <x:c r="F51" s="68" t="n">
        <x:f>-20*LOG10((2*$B$5)/SQRT((2*$B$5)^2+(1/(2*PI()*($A51*1000000)*($F$19*1E-12)))^2))</x:f>
        <x:v>18.89139870516506</x:v>
      </x:c>
      <x:c r="G51" s="68" t="n">
        <x:f>-20*LOG10((2*$B$5)/SQRT((2*$B$5)^2+(1/(2*PI()*($A51*1000000)*($F$20*1E-12)))^2))</x:f>
        <x:v>18.89139870516506</x:v>
      </x:c>
      <x:c r="H51" s="68" t="n">
        <x:f>-20*LOG10((2*$B$5)/SQRT((2*$B$5)^2+(1/(2*PI()*($A51*1000000)*($F$21*1E-12)))^2))</x:f>
        <x:v>18.30042075366188</x:v>
      </x:c>
    </x:row>
    <x:row r="52">
      <x:c r="A52" t="n">
        <x:v>27</x:v>
      </x:c>
      <x:c r="B52" s="68" t="n">
        <x:f>-20*LOG10((2*$B$5)/SQRT((2*$B$5)^2+(1/(2*PI()*($A52*1000000)*($F$15*1E-12)))^2))</x:f>
        <x:v>6.12376704628912</x:v>
      </x:c>
      <x:c r="C52" s="68" t="n">
        <x:f>-20*LOG10((2*$B$5)/SQRT((2*$B$5)^2+(1/(2*PI()*($A52*1000000)*($F$16*1E-12)))^2))</x:f>
        <x:v>21.4608626226064</x:v>
      </x:c>
      <x:c r="D52" s="68" t="n">
        <x:f>-20*LOG10((2*$B$5)/SQRT((2*$B$5)^2+(1/(2*PI()*($A52*1000000)*($F$17*1E-12)))^2))</x:f>
        <x:v>20.639519081430603</x:v>
      </x:c>
      <x:c r="E52" s="68" t="n">
        <x:f>-20*LOG10((2*$B$5)/SQRT((2*$B$5)^2+(1/(2*PI()*($A52*1000000)*($F$18*1E-12)))^2))</x:f>
        <x:v>19.890866861633</x:v>
      </x:c>
      <x:c r="F52" s="68" t="n">
        <x:f>-20*LOG10((2*$B$5)/SQRT((2*$B$5)^2+(1/(2*PI()*($A52*1000000)*($F$19*1E-12)))^2))</x:f>
        <x:v>18.56798330802956</x:v>
      </x:c>
      <x:c r="G52" s="68" t="n">
        <x:f>-20*LOG10((2*$B$5)/SQRT((2*$B$5)^2+(1/(2*PI()*($A52*1000000)*($F$20*1E-12)))^2))</x:f>
        <x:v>18.56798330802956</x:v>
      </x:c>
      <x:c r="H52" s="68" t="n">
        <x:f>-20*LOG10((2*$B$5)/SQRT((2*$B$5)^2+(1/(2*PI()*($A52*1000000)*($F$21*1E-12)))^2))</x:f>
        <x:v>17.97764534656402</x:v>
      </x:c>
    </x:row>
    <x:row r="53">
      <x:c r="A53" t="n">
        <x:v>28</x:v>
      </x:c>
      <x:c r="B53" s="68" t="n">
        <x:f>-20*LOG10((2*$B$5)/SQRT((2*$B$5)^2+(1/(2*PI()*($A53*1000000)*($F$15*1E-12)))^2))</x:f>
        <x:v>5.88714526046598</x:v>
      </x:c>
      <x:c r="C53" s="68" t="n">
        <x:f>-20*LOG10((2*$B$5)/SQRT((2*$B$5)^2+(1/(2*PI()*($A53*1000000)*($F$16*1E-12)))^2))</x:f>
        <x:v>21.147317280814</x:v>
      </x:c>
      <x:c r="D53" s="68" t="n">
        <x:f>-20*LOG10((2*$B$5)/SQRT((2*$B$5)^2+(1/(2*PI()*($A53*1000000)*($F$17*1E-12)))^2))</x:f>
        <x:v>20.3264607403572</x:v>
      </x:c>
      <x:c r="E53" s="68" t="n">
        <x:f>-20*LOG10((2*$B$5)/SQRT((2*$B$5)^2+(1/(2*PI()*($A53*1000000)*($F$18*1E-12)))^2))</x:f>
        <x:v>19.578340168694922</x:v>
      </x:c>
      <x:c r="F53" s="68" t="n">
        <x:f>-20*LOG10((2*$B$5)/SQRT((2*$B$5)^2+(1/(2*PI()*($A53*1000000)*($F$19*1E-12)))^2))</x:f>
        <x:v>18.256651968509942</x:v>
      </x:c>
      <x:c r="G53" s="68" t="n">
        <x:f>-20*LOG10((2*$B$5)/SQRT((2*$B$5)^2+(1/(2*PI()*($A53*1000000)*($F$20*1E-12)))^2))</x:f>
        <x:v>18.256651968509942</x:v>
      </x:c>
      <x:c r="H53" s="68" t="n">
        <x:f>-20*LOG10((2*$B$5)/SQRT((2*$B$5)^2+(1/(2*PI()*($A53*1000000)*($F$21*1E-12)))^2))</x:f>
        <x:v>17.666976681465222</x:v>
      </x:c>
    </x:row>
    <x:row r="54">
      <x:c r="A54" t="n">
        <x:v>29</x:v>
      </x:c>
      <x:c r="B54" s="68" t="n">
        <x:f>-20*LOG10((2*$B$5)/SQRT((2*$B$5)^2+(1/(2*PI()*($A54*1000000)*($F$15*1E-12)))^2))</x:f>
        <x:v>5.6629932552899</x:v>
      </x:c>
      <x:c r="C54" s="68" t="n">
        <x:f>-20*LOG10((2*$B$5)/SQRT((2*$B$5)^2+(1/(2*PI()*($A54*1000000)*($F$16*1E-12)))^2))</x:f>
        <x:v>20.844941712852002</x:v>
      </x:c>
      <x:c r="D54" s="68" t="n">
        <x:f>-20*LOG10((2*$B$5)/SQRT((2*$B$5)^2+(1/(2*PI()*($A54*1000000)*($F$17*1E-12)))^2))</x:f>
        <x:v>20.0245892713964</x:v>
      </x:c>
      <x:c r="E54" s="68" t="n">
        <x:f>-20*LOG10((2*$B$5)/SQRT((2*$B$5)^2+(1/(2*PI()*($A54*1000000)*($F$18*1E-12)))^2))</x:f>
        <x:v>19.27701888237466</x:v>
      </x:c>
      <x:c r="F54" s="68" t="n">
        <x:f>-20*LOG10((2*$B$5)/SQRT((2*$B$5)^2+(1/(2*PI()*($A54*1000000)*($F$19*1E-12)))^2))</x:f>
        <x:v>17.95656720812672</x:v>
      </x:c>
      <x:c r="G54" s="68" t="n">
        <x:f>-20*LOG10((2*$B$5)/SQRT((2*$B$5)^2+(1/(2*PI()*($A54*1000000)*($F$20*1E-12)))^2))</x:f>
        <x:v>17.95656720812672</x:v>
      </x:c>
      <x:c r="H54" s="68" t="n">
        <x:f>-20*LOG10((2*$B$5)/SQRT((2*$B$5)^2+(1/(2*PI()*($A54*1000000)*($F$21*1E-12)))^2))</x:f>
        <x:v>17.36757712229332</x:v>
      </x:c>
    </x:row>
    <x:row r="55">
      <x:c r="A55" t="n">
        <x:v>30</x:v>
      </x:c>
      <x:c r="B55" s="68" t="n">
        <x:f>-20*LOG10((2*$B$5)/SQRT((2*$B$5)^2+(1/(2*PI()*($A55*1000000)*($F$15*1E-12)))^2))</x:f>
        <x:v>5.45045720441046</x:v>
      </x:c>
      <x:c r="C55" s="68" t="n">
        <x:f>-20*LOG10((2*$B$5)/SQRT((2*$B$5)^2+(1/(2*PI()*($A55*1000000)*($F$16*1E-12)))^2))</x:f>
        <x:v>20.552983960036002</x:v>
      </x:c>
      <x:c r="D55" s="68" t="n">
        <x:f>-20*LOG10((2*$B$5)/SQRT((2*$B$5)^2+(1/(2*PI()*($A55*1000000)*($F$17*1E-12)))^2))</x:f>
        <x:v>19.73315265163038</x:v>
      </x:c>
      <x:c r="E55" s="68" t="n">
        <x:f>-20*LOG10((2*$B$5)/SQRT((2*$B$5)^2+(1/(2*PI()*($A55*1000000)*($F$18*1E-12)))^2))</x:f>
        <x:v>18.98615089613322</x:v>
      </x:c>
      <x:c r="F55" s="68" t="n">
        <x:f>-20*LOG10((2*$B$5)/SQRT((2*$B$5)^2+(1/(2*PI()*($A55*1000000)*($F$19*1E-12)))^2))</x:f>
        <x:v>17.666976681465222</x:v>
      </x:c>
      <x:c r="G55" s="68" t="n">
        <x:f>-20*LOG10((2*$B$5)/SQRT((2*$B$5)^2+(1/(2*PI()*($A55*1000000)*($F$20*1E-12)))^2))</x:f>
        <x:v>17.666976681465222</x:v>
      </x:c>
      <x:c r="H55" s="68" t="n">
        <x:f>-20*LOG10((2*$B$5)/SQRT((2*$B$5)^2+(1/(2*PI()*($A55*1000000)*($F$21*1E-12)))^2))</x:f>
        <x:v>17.07869416124996</x:v>
      </x:c>
    </x:row>
    <x:row r="58">
      <x:c r="A58" s="59" t="str">
        <x:v>MODEL NOTES: Conduction loss uses P = Irms² × (2 × RDS(on)) with datasheet typical RDS(on) at 25°C. Real RDS(on) rises with junction temperature, so actual conduction loss will be higher. OFF-state capacitance is approximated as two equal Coss values in series: Ceq = Coss/2. The isolation estimate treats the OFF MOSFET pair as a series capacitive reactance in a matched 50 Ω source / 50 Ω load system: |S21| ≈ 2Z0 / sqrt((2Z0)² + Xc²). Coss is nonlinear versus VDS, and PCB/package parasitics are not included. Therefore these values are for MOSFET screening and comparison, not final RF qualification.</x:v>
      </x:c>
      <x:c r="B58" s="59"/>
      <x:c r="C58" s="59"/>
      <x:c r="D58" s="59"/>
      <x:c r="E58" s="59"/>
      <x:c r="F58" s="59"/>
      <x:c r="G58" s="59"/>
      <x:c r="H58" s="59"/>
      <x:c r="I58" s="59"/>
      <x:c r="J58" s="59"/>
      <x:c r="K58" s="59"/>
      <x:c r="L58" s="59"/>
      <x:c r="M58" s="59"/>
      <x:c r="N58" s="59"/>
      <x:c r="O58" s="59"/>
      <x:c r="P58" s="59"/>
      <x:c r="Q58" s="59"/>
      <x:c r="R58" s="59"/>
    </x:row>
    <x:row r="59">
      <x:c r="A59" s="59"/>
      <x:c r="B59" s="59"/>
      <x:c r="C59" s="59"/>
      <x:c r="D59" s="59"/>
      <x:c r="E59" s="59"/>
      <x:c r="F59" s="59"/>
      <x:c r="G59" s="59"/>
      <x:c r="H59" s="59"/>
      <x:c r="I59" s="59"/>
      <x:c r="J59" s="59"/>
      <x:c r="K59" s="59"/>
      <x:c r="L59" s="59"/>
      <x:c r="M59" s="59"/>
      <x:c r="N59" s="59"/>
      <x:c r="O59" s="59"/>
      <x:c r="P59" s="59"/>
      <x:c r="Q59" s="59"/>
      <x:c r="R59" s="59"/>
    </x:row>
    <x:row r="60">
      <x:c r="A60" s="59"/>
      <x:c r="B60" s="59"/>
      <x:c r="C60" s="59"/>
      <x:c r="D60" s="59"/>
      <x:c r="E60" s="59"/>
      <x:c r="F60" s="59"/>
      <x:c r="G60" s="59"/>
      <x:c r="H60" s="59"/>
      <x:c r="I60" s="59"/>
      <x:c r="J60" s="59"/>
      <x:c r="K60" s="59"/>
      <x:c r="L60" s="59"/>
      <x:c r="M60" s="59"/>
      <x:c r="N60" s="59"/>
      <x:c r="O60" s="59"/>
      <x:c r="P60" s="59"/>
      <x:c r="Q60" s="59"/>
      <x:c r="R60" s="59"/>
    </x:row>
    <x:row r="61">
      <x:c r="A61" s="59"/>
      <x:c r="B61" s="59"/>
      <x:c r="C61" s="59"/>
      <x:c r="D61" s="59"/>
      <x:c r="E61" s="59"/>
      <x:c r="F61" s="59"/>
      <x:c r="G61" s="59"/>
      <x:c r="H61" s="59"/>
      <x:c r="I61" s="59"/>
      <x:c r="J61" s="59"/>
      <x:c r="K61" s="59"/>
      <x:c r="L61" s="59"/>
      <x:c r="M61" s="59"/>
      <x:c r="N61" s="59"/>
      <x:c r="O61" s="59"/>
      <x:c r="P61" s="59"/>
      <x:c r="Q61" s="59"/>
      <x:c r="R61" s="59"/>
    </x:row>
    <x:row r="62">
      <x:c r="A62" s="59"/>
      <x:c r="B62" s="59"/>
      <x:c r="C62" s="59"/>
      <x:c r="D62" s="59"/>
      <x:c r="E62" s="59"/>
      <x:c r="F62" s="59"/>
      <x:c r="G62" s="59"/>
      <x:c r="H62" s="59"/>
      <x:c r="I62" s="59"/>
      <x:c r="J62" s="59"/>
      <x:c r="K62" s="59"/>
      <x:c r="L62" s="59"/>
      <x:c r="M62" s="59"/>
      <x:c r="N62" s="59"/>
      <x:c r="O62" s="59"/>
      <x:c r="P62" s="59"/>
      <x:c r="Q62" s="59"/>
      <x:c r="R62" s="59"/>
    </x:row>
  </x:sheetData>
  <x:mergeCells>
    <x:mergeCell ref="A1:T1"/>
    <x:mergeCell ref="A58:R62"/>
    <x:mergeCell ref="S23:V27"/>
  </x:mergeCells>
  <x:conditionalFormatting sqref="E15:E21">
    <x:cfRule type="colorScale" priority="1">
      <x:colorScale>
        <x:cfvo type="min"/>
        <x:cfvo type="percentile" val="50"/>
        <x:cfvo type="max"/>
        <x:color rgb="FF63BE7B"/>
        <x:color rgb="FFFFEB84"/>
        <x:color rgb="FFF8696B"/>
      </x:colorScale>
    </x:cfRule>
  </x:conditionalFormatting>
  <x:conditionalFormatting sqref="H15:H21">
    <x:cfRule type="colorScale" priority="2">
      <x:colorScale>
        <x:cfvo type="min"/>
        <x:cfvo type="percentile" val="50"/>
        <x:cfvo type="max"/>
        <x:color rgb="FF63BE7B"/>
        <x:color rgb="FFFFEB84"/>
        <x:color rgb="FFF8696B"/>
      </x:colorScale>
    </x:cfRule>
  </x:conditionalFormatting>
  <x:conditionalFormatting sqref="O15:O21">
    <x:cfRule type="colorScale" priority="3">
      <x:colorScale>
        <x:cfvo type="min"/>
        <x:cfvo type="percentile" val="50"/>
        <x:cfvo type="max"/>
        <x:color rgb="FFF8696B"/>
        <x:color rgb="FFFFEB84"/>
        <x:color rgb="FF63BE7B"/>
      </x:colorScale>
    </x:cfRule>
  </x:conditionalFormatting>
  <x:conditionalFormatting sqref="K15:L21">
    <x:cfRule type="cellIs" dxfId="1" priority="4" operator="lessThan">
      <x:formula>0</x:formula>
    </x:cfRule>
  </x:conditionalFormatting>
  <x:conditionalFormatting sqref="U15:U21">
    <x:cfRule type="expression" dxfId="8" priority="5">
      <x:formula>OR(ISNUMBER(SEARCH("BEST",U15)),ISNUMBER(SEARCH("POSSIBLE",U15)))</x:formula>
    </x:cfRule>
    <x:cfRule type="expression" dxfId="9" priority="6">
      <x:formula>OR(ISNUMBER(SEARCH("NO",U15)),ISNUMBER(SEARCH("RISK",U15)))</x:formula>
    </x:cfRule>
  </x:conditionalFormatting>
  <x:pageMargins left="0.7" right="0.7" top="0.75" bottom="0.75" header="0.3" footer="0.3"/>
  <x:drawing xmlns:r="http://schemas.openxmlformats.org/officeDocument/2006/relationships" r:id="R3b6be0d3b43142d6"/>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16" hidden="0" customWidth="1"/>
    <x:col min="4" max="4" width="15" hidden="0" customWidth="1"/>
    <x:col min="5" max="5" width="15" hidden="0" customWidth="1"/>
    <x:col min="6" max="6" width="17" hidden="0" customWidth="1"/>
    <x:col min="7" max="7" width="12" hidden="0" customWidth="1"/>
    <x:col min="8" max="8" width="48" hidden="0" customWidth="1"/>
    <x:col min="9" max="9" width="72" hidden="0" customWidth="1"/>
    <x:col min="11" max="11" width="8" hidden="0" customWidth="1"/>
    <x:col min="12" max="12" width="22" hidden="0" customWidth="1"/>
    <x:col min="13" max="13" width="28" hidden="0" customWidth="1"/>
    <x:col min="14" max="14" width="60" hidden="0" customWidth="1"/>
    <x:col min="15" max="15" width="18" hidden="0" customWidth="1"/>
    <x:col min="16" max="16" width="17" hidden="0" customWidth="1"/>
    <x:col min="17" max="17" width="17" hidden="0" customWidth="1"/>
    <x:col min="18" max="18" width="17" hidden="0" customWidth="1"/>
    <x:col min="19" max="19" width="20" hidden="0" customWidth="1"/>
    <x:col min="20" max="20" width="18" hidden="0" customWidth="1"/>
    <x:col min="21" max="21" width="22" hidden="0" customWidth="1"/>
    <x:col min="22" max="22" width="20" hidden="0" customWidth="1"/>
    <x:col min="23" max="23" width="20" hidden="0" customWidth="1"/>
    <x:col min="24" max="24" width="20" hidden="0" customWidth="1"/>
    <x:col min="25" max="25" width="40" hidden="0" customWidth="1"/>
    <x:col min="26" max="26" width="20" hidden="0" customWidth="1"/>
    <x:col min="27" max="27" width="20" hidden="0" customWidth="1"/>
    <x:col min="28" max="28" width="24" hidden="0" customWidth="1"/>
    <x:col min="29" max="29" width="22" hidden="0" customWidth="1"/>
  </x:cols>
  <x:sheetData>
    <x:row r="1" ht="28" customHeight="1">
      <x:c r="A1" s="73" t="str">
        <x:v>Worst-Case Thermal &amp; Heatsink Screening — 55°C Ambient / 1300 W / 30 MHz</x:v>
      </x:c>
      <x:c r="B1" s="73"/>
      <x:c r="C1" s="73"/>
      <x:c r="D1" s="73"/>
      <x:c r="E1" s="73"/>
      <x:c r="F1" s="73"/>
      <x:c r="G1" s="73"/>
      <x:c r="H1" s="73"/>
      <x:c r="I1" s="73"/>
      <x:c r="J1" s="73"/>
      <x:c r="K1" s="73"/>
      <x:c r="L1" s="73"/>
      <x:c r="M1" s="73"/>
      <x:c r="N1" s="73"/>
      <x:c r="O1" s="73"/>
      <x:c r="P1" s="73"/>
      <x:c r="Q1" s="73"/>
      <x:c r="R1" s="73"/>
      <x:c r="S1" s="73"/>
      <x:c r="T1" s="73"/>
      <x:c r="U1" s="73"/>
      <x:c r="V1" s="73"/>
    </x:row>
    <x:row r="3">
      <x:c r="A3" s="76" t="str">
        <x:v>DESIGN INPUT / ASSUMPTION</x:v>
      </x:c>
      <x:c r="B3" s="76" t="str">
        <x:v>Value</x:v>
      </x:c>
      <x:c r="D3" s="82" t="str">
        <x:v>HOW THIS SHEET TREATS 30 MHz:
The MOSFET is not being gate-switched at 30 MHz; it is continuously ON while carrying a 30 MHz RF sine current. Therefore Eon/Eoff × 30 MHz is NOT used. Datasheet RDS(on) is a DC/static parameter and package/PCB RF effects are not fully specified, so an editable 25% RF/parasitic loss margin is applied to the hot I²R loss. OFF-state Coss isolation/leakage remains in Sheet 2 and is not added directly as MOSFET heat, because most ideal capacitive leakage is reactive/transferred power rather than device dissipation.</x:v>
      </x:c>
      <x:c r="E3" s="82"/>
      <x:c r="F3" s="82"/>
      <x:c r="G3" s="82"/>
      <x:c r="H3" s="82"/>
      <x:c r="I3" s="82"/>
      <x:c r="J3" s="82"/>
      <x:c r="K3" s="82"/>
      <x:c r="L3" s="82"/>
      <x:c r="M3" s="82"/>
      <x:c r="N3" s="82"/>
      <x:c r="O3" s="82"/>
      <x:c r="P3" s="82"/>
      <x:c r="Q3" s="82"/>
      <x:c r="R3" s="82"/>
      <x:c r="S3" s="82"/>
      <x:c r="T3" s="82"/>
      <x:c r="U3" s="82"/>
      <x:c r="V3" s="82"/>
    </x:row>
    <x:row r="4">
      <x:c r="A4" t="str">
        <x:v>Ambient temperature Ta (°C)</x:v>
      </x:c>
      <x:c r="B4" s="78" t="n">
        <x:v>55</x:v>
      </x:c>
      <x:c r="D4" s="82"/>
      <x:c r="E4" s="82"/>
      <x:c r="F4" s="82"/>
      <x:c r="G4" s="82"/>
      <x:c r="H4" s="82"/>
      <x:c r="I4" s="82"/>
      <x:c r="J4" s="82"/>
      <x:c r="K4" s="82"/>
      <x:c r="L4" s="82"/>
      <x:c r="M4" s="82"/>
      <x:c r="N4" s="82"/>
      <x:c r="O4" s="82"/>
      <x:c r="P4" s="82"/>
      <x:c r="Q4" s="82"/>
      <x:c r="R4" s="82"/>
      <x:c r="S4" s="82"/>
      <x:c r="T4" s="82"/>
      <x:c r="U4" s="82"/>
      <x:c r="V4" s="82"/>
    </x:row>
    <x:row r="5">
      <x:c r="A5" t="str">
        <x:v>RF input power (W)</x:v>
      </x:c>
      <x:c r="B5" s="78" t="n">
        <x:v>1300</x:v>
      </x:c>
      <x:c r="D5" s="82"/>
      <x:c r="E5" s="82"/>
      <x:c r="F5" s="82"/>
      <x:c r="G5" s="82"/>
      <x:c r="H5" s="82"/>
      <x:c r="I5" s="82"/>
      <x:c r="J5" s="82"/>
      <x:c r="K5" s="82"/>
      <x:c r="L5" s="82"/>
      <x:c r="M5" s="82"/>
      <x:c r="N5" s="82"/>
      <x:c r="O5" s="82"/>
      <x:c r="P5" s="82"/>
      <x:c r="Q5" s="82"/>
      <x:c r="R5" s="82"/>
      <x:c r="S5" s="82"/>
      <x:c r="T5" s="82"/>
      <x:c r="U5" s="82"/>
      <x:c r="V5" s="82"/>
    </x:row>
    <x:row r="6">
      <x:c r="A6" t="str">
        <x:v>System impedance Z0 (Ω)</x:v>
      </x:c>
      <x:c r="B6" s="78" t="n">
        <x:v>50</x:v>
      </x:c>
      <x:c r="D6" s="82"/>
      <x:c r="E6" s="82"/>
      <x:c r="F6" s="82"/>
      <x:c r="G6" s="82"/>
      <x:c r="H6" s="82"/>
      <x:c r="I6" s="82"/>
      <x:c r="J6" s="82"/>
      <x:c r="K6" s="82"/>
      <x:c r="L6" s="82"/>
      <x:c r="M6" s="82"/>
      <x:c r="N6" s="82"/>
      <x:c r="O6" s="82"/>
      <x:c r="P6" s="82"/>
      <x:c r="Q6" s="82"/>
      <x:c r="R6" s="82"/>
      <x:c r="S6" s="82"/>
      <x:c r="T6" s="82"/>
      <x:c r="U6" s="82"/>
      <x:c r="V6" s="82"/>
    </x:row>
    <x:row r="7">
      <x:c r="A7" t="str">
        <x:v>Worst-case RF frequency (MHz)</x:v>
      </x:c>
      <x:c r="B7" s="78" t="n">
        <x:v>30</x:v>
      </x:c>
      <x:c r="D7" s="82"/>
      <x:c r="E7" s="82"/>
      <x:c r="F7" s="82"/>
      <x:c r="G7" s="82"/>
      <x:c r="H7" s="82"/>
      <x:c r="I7" s="82"/>
      <x:c r="J7" s="82"/>
      <x:c r="K7" s="82"/>
      <x:c r="L7" s="82"/>
      <x:c r="M7" s="82"/>
      <x:c r="N7" s="82"/>
      <x:c r="O7" s="82"/>
      <x:c r="P7" s="82"/>
      <x:c r="Q7" s="82"/>
      <x:c r="R7" s="82"/>
      <x:c r="S7" s="82"/>
      <x:c r="T7" s="82"/>
      <x:c r="U7" s="82"/>
      <x:c r="V7" s="82"/>
    </x:row>
    <x:row r="8">
      <x:c r="A8" t="str">
        <x:v>MOSFETs ON in selected RF arm</x:v>
      </x:c>
      <x:c r="B8" s="78" t="n">
        <x:v>2</x:v>
      </x:c>
    </x:row>
    <x:row r="9">
      <x:c r="A9" t="str">
        <x:v>Target junction temperature (°C)</x:v>
      </x:c>
      <x:c r="B9" s="78" t="n">
        <x:v>150</x:v>
      </x:c>
    </x:row>
    <x:row r="10">
      <x:c r="A10" t="str">
        <x:v>Absolute Tj limit (°C)</x:v>
      </x:c>
      <x:c r="B10" s="78" t="n">
        <x:v>175</x:v>
      </x:c>
    </x:row>
    <x:row r="11">
      <x:c r="A11" t="str">
        <x:v>Thermal interface RθCS per MOSFET (°C/W)</x:v>
      </x:c>
      <x:c r="B11" s="78" t="n">
        <x:v>0.2</x:v>
      </x:c>
    </x:row>
    <x:row r="12">
      <x:c r="A12" t="str">
        <x:v>RF / PCB / package loss margin</x:v>
      </x:c>
      <x:c r="B12" s="78" t="n">
        <x:v>0.25</x:v>
      </x:c>
    </x:row>
    <x:row r="13">
      <x:c r="A13" t="str">
        <x:v>Calculated Irms (A)</x:v>
      </x:c>
      <x:c r="B13" s="68" t="n">
        <x:f>SQRT(B5/B6)</x:f>
        <x:v>5.0990195135927845</x:v>
      </x:c>
    </x:row>
    <x:row r="16">
      <x:c r="A16" s="87" t="str">
        <x:v>Part Number</x:v>
      </x:c>
      <x:c r="B16" s="87" t="str">
        <x:v>Coss (pF)</x:v>
      </x:c>
      <x:c r="C16" s="87" t="str">
        <x:v>RDS25 used (Ω)</x:v>
      </x:c>
      <x:c r="D16" s="87" t="str">
        <x:v>Hot RDS factor</x:v>
      </x:c>
      <x:c r="E16" s="87" t="str">
        <x:v>Hot RDS used (Ω)</x:v>
      </x:c>
      <x:c r="F16" s="87" t="str">
        <x:v>RθJC max/used (°C/W)</x:v>
      </x:c>
      <x:c r="G16" s="87" t="str">
        <x:v>Tj max (°C)</x:v>
      </x:c>
      <x:c r="H16" s="87" t="str">
        <x:v>Hot-RDS basis / conservatism</x:v>
      </x:c>
      <x:c r="I16" s="87" t="str">
        <x:v>Thermal source</x:v>
      </x:c>
      <x:c r="K16" s="92" t="str">
        <x:v>Part Number</x:v>
      </x:c>
      <x:c r="L16" s="92" t="str">
        <x:v>Hot RDS / FET (Ω)</x:v>
      </x:c>
      <x:c r="M16" s="92" t="str">
        <x:v>Irms (A)</x:v>
      </x:c>
      <x:c r="N16" s="92" t="str">
        <x:v>I²R / FET hot (W)</x:v>
      </x:c>
      <x:c r="O16" s="92" t="str">
        <x:v>RF-margin loss / FET (W)</x:v>
      </x:c>
      <x:c r="P16" s="92" t="str">
        <x:v>Total pair loss (W)</x:v>
      </x:c>
      <x:c r="Q16" s="92" t="str">
        <x:v>ΔT J-C / FET (°C)</x:v>
      </x:c>
      <x:c r="R16" s="92" t="str">
        <x:v>ΔT C-S / FET (°C)</x:v>
      </x:c>
      <x:c r="S16" s="92" t="str">
        <x:v>Max heatsink temp for Tj=150°C (°C)</x:v>
      </x:c>
      <x:c r="T16" s="92" t="str">
        <x:v>Allowed heatsink rise over 55°C (°C)</x:v>
      </x:c>
      <x:c r="U16" s="92" t="str">
        <x:v>Required shared heatsink RθSA MAX (°C/W)</x:v>
      </x:c>
      <x:c r="V16" s="92" t="str">
        <x:v>Tj with 0.50°C/W shared sink (°C)</x:v>
      </x:c>
      <x:c r="W16" s="92" t="str">
        <x:v>Tj with 0.25°C/W shared sink (°C)</x:v>
      </x:c>
      <x:c r="X16" s="92" t="str">
        <x:v>Tj with 0.10°C/W shared sink (°C)</x:v>
      </x:c>
      <x:c r="Y16" s="92" t="str">
        <x:v>Thermal Verdict</x:v>
      </x:c>
      <x:c r="Z16" s="110" t="str">
        <x:v>Leaked Power @30MHz (W)</x:v>
      </x:c>
      <x:c r="AA16" s="110" t="str">
        <x:v>Leaked Power @30MHz (%)</x:v>
      </x:c>
      <x:c r="AB16" s="110" t="str">
        <x:v>Total Unwanted Power Worst-Case (W)</x:v>
      </x:c>
      <x:c r="AC16" s="110" t="str">
        <x:v>Total Unwanted Power (%)</x:v>
      </x:c>
    </x:row>
    <x:row r="17">
      <x:c r="A17" s="30" t="str">
        <x:v>IMZC140R029M2H</x:v>
      </x:c>
      <x:c r="B17" s="32" t="n">
        <x:v>67</x:v>
      </x:c>
      <x:c r="C17" s="34" t="n">
        <x:v>0.029</x:v>
      </x:c>
      <x:c r="D17" s="34" t="n">
        <x:v>2.4482758620689653</x:v>
      </x:c>
      <x:c r="E17" s="34" t="n">
        <x:f>C17*D17</x:f>
        <x:v>0.071</x:v>
      </x:c>
      <x:c r="F17" s="34" t="n">
        <x:v>0.52</x:v>
      </x:c>
      <x:c r="G17" s="30" t="n">
        <x:v>175</x:v>
      </x:c>
      <x:c r="H17" s="30" t="str">
        <x:v>Datasheet typ: 29 mΩ @25°C → 71 mΩ @175°C, VGS=18 V.</x:v>
      </x:c>
      <x:c r="I17" s="30" t="str">
        <x:v>https://www.infineon.com/assets/row/public/documents/60/49/infineon-imzc140r029m2h-datasheet-en.pdf</x:v>
      </x:c>
      <x:c r="K17" s="30" t="str">
        <x:v>IMZC140R029M2H</x:v>
      </x:c>
      <x:c r="L17" s="64" t="n">
        <x:f>E17</x:f>
        <x:v>0.071</x:v>
      </x:c>
      <x:c r="M17" s="64" t="n">
        <x:f>$B$13</x:f>
        <x:v>5.0990195135927845</x:v>
      </x:c>
      <x:c r="N17" s="64" t="n">
        <x:f>M17^2*L17</x:f>
        <x:v>1.8459999999999996</x:v>
      </x:c>
      <x:c r="O17" s="64" t="n">
        <x:f>N17*(1+$B$12)</x:f>
        <x:v>2.3074999999999997</x:v>
      </x:c>
      <x:c r="P17" s="64" t="n">
        <x:f>O17*$B$8</x:f>
        <x:v>4.614999999999999</x:v>
      </x:c>
      <x:c r="Q17" s="64" t="n">
        <x:f>O17*F17</x:f>
        <x:v>1.1999</x:v>
      </x:c>
      <x:c r="R17" s="64" t="n">
        <x:f>O17*$B$11</x:f>
        <x:v>0.46149999999999997</x:v>
      </x:c>
      <x:c r="S17" s="64" t="n">
        <x:f>$B$9-Q17-R17</x:f>
        <x:v>148.33859999999999</x:v>
      </x:c>
      <x:c r="T17" s="64" t="n">
        <x:f>S17-$B$4</x:f>
        <x:v>93.33859999999999</x:v>
      </x:c>
      <x:c r="U17" s="64" t="n">
        <x:f>IF(T17&lt;=0,-1,T17/P17)</x:f>
        <x:v>20.22504875406284</x:v>
      </x:c>
      <x:c r="V17" s="64" t="n">
        <x:f>$B$4+P17*0.5+O17*(F17+$B$11)</x:f>
        <x:v>58.9689</x:v>
      </x:c>
      <x:c r="W17" s="64" t="n">
        <x:f>$B$4+P17*0.25+O17*(F17+$B$11)</x:f>
        <x:v>57.81515</x:v>
      </x:c>
      <x:c r="X17" s="64" t="n">
        <x:f>$B$4+P17*0.10+O17*(F17+$B$11)</x:f>
        <x:v>57.1229</x:v>
      </x:c>
      <x:c r="Y17" s="30" t="str">
        <x:f>IF(U17&lt;0,"NOT VIABLE to 150°C even with ideal sink",IF(U17&lt;0.15,"VERY HARD: liquid/large forced-air class",IF(U17&lt;0.35,"HARD: strong forced-air/cold plate",IF(U17&lt;1,"PRACTICAL with substantial heatsink","EASY thermal load"))))</x:f>
        <x:v>EASY thermal load</x:v>
      </x:c>
      <x:c r="Z17" s="68" t="n">
        <x:f>'2_Calculations'!P15</x:f>
        <x:v>370.59335842966726</x:v>
      </x:c>
      <x:c r="AA17" s="68" t="n">
        <x:f>'2_Calculations'!Q15</x:f>
        <x:v>28.50718141766671</x:v>
      </x:c>
      <x:c r="AB17" s="68" t="n">
        <x:f>P17+Z17</x:f>
        <x:v>375.20835842966727</x:v>
      </x:c>
      <x:c r="AC17" s="68" t="n">
        <x:f>100*AB17/$B$5</x:f>
        <x:v>28.862181417666715</x:v>
      </x:c>
    </x:row>
    <x:row r="18">
      <x:c r="A18" s="30" t="str">
        <x:v>IMWH170R1K0M1</x:v>
      </x:c>
      <x:c r="B18" s="32" t="n">
        <x:v>10</x:v>
      </x:c>
      <x:c r="C18" s="34" t="n">
        <x:v>1</x:v>
      </x:c>
      <x:c r="D18" s="34" t="n">
        <x:v>2.037</x:v>
      </x:c>
      <x:c r="E18" s="34" t="n">
        <x:f>C18*D18</x:f>
        <x:v>2.037</x:v>
      </x:c>
      <x:c r="F18" s="34" t="n">
        <x:v>2.13</x:v>
      </x:c>
      <x:c r="G18" s="30" t="n">
        <x:v>175</x:v>
      </x:c>
      <x:c r="H18" s="30" t="str">
        <x:v>Datasheet typ: 1.000 Ω @25°C → 2.037 Ω @175°C, VGS=12 V.</x:v>
      </x:c>
      <x:c r="I18" s="30" t="str">
        <x:v>https://www.infineon.com/assets/row/public/documents/60/49/infineon-imwh170r1k0m1-datasheet-en.pdf</x:v>
      </x:c>
      <x:c r="K18" s="30" t="str">
        <x:v>IMWH170R1K0M1</x:v>
      </x:c>
      <x:c r="L18" s="64" t="n">
        <x:f>E18</x:f>
        <x:v>2.037</x:v>
      </x:c>
      <x:c r="M18" s="64" t="n">
        <x:f>$B$13</x:f>
        <x:v>5.0990195135927845</x:v>
      </x:c>
      <x:c r="N18" s="64" t="n">
        <x:f>M18^2*L18</x:f>
        <x:v>52.96199999999999</x:v>
      </x:c>
      <x:c r="O18" s="64" t="n">
        <x:f>N18*(1+$B$12)</x:f>
        <x:v>66.20249999999999</x:v>
      </x:c>
      <x:c r="P18" s="64" t="n">
        <x:f>O18*$B$8</x:f>
        <x:v>132.40499999999997</x:v>
      </x:c>
      <x:c r="Q18" s="64" t="n">
        <x:f>O18*F18</x:f>
        <x:v>141.01132499999997</x:v>
      </x:c>
      <x:c r="R18" s="64" t="n">
        <x:f>O18*$B$11</x:f>
        <x:v>13.240499999999997</x:v>
      </x:c>
      <x:c r="S18" s="64" t="n">
        <x:f>$B$9-Q18-R18</x:f>
        <x:v>-4.251824999999968</x:v>
      </x:c>
      <x:c r="T18" s="64" t="n">
        <x:f>S18-$B$4</x:f>
        <x:v>-59.25182499999997</x:v>
      </x:c>
      <x:c r="U18" s="64" t="n">
        <x:f>IF(T18&lt;=0,-1,T18/P18)</x:f>
        <x:v>-1</x:v>
      </x:c>
      <x:c r="V18" s="64" t="n">
        <x:f>$B$4+P18*0.5+O18*(F18+$B$11)</x:f>
        <x:v>275.4543249999999</x:v>
      </x:c>
      <x:c r="W18" s="64" t="n">
        <x:f>$B$4+P18*0.25+O18*(F18+$B$11)</x:f>
        <x:v>242.35307499999996</x:v>
      </x:c>
      <x:c r="X18" s="64" t="n">
        <x:f>$B$4+P18*0.10+O18*(F18+$B$11)</x:f>
        <x:v>222.49232499999997</x:v>
      </x:c>
      <x:c r="Y18" s="30" t="str">
        <x:f>IF(U18&lt;0,"NOT VIABLE to 150°C even with ideal sink",IF(U18&lt;0.15,"VERY HARD: liquid/large forced-air class",IF(U18&lt;0.35,"HARD: strong forced-air/cold plate",IF(U18&lt;1,"PRACTICAL with substantial heatsink","EASY thermal load"))))</x:f>
        <x:v>NOT VIABLE to 150°C even with ideal sink</x:v>
      </x:c>
      <x:c r="Z18" s="68" t="n">
        <x:f>'2_Calculations'!P16</x:f>
        <x:v>11.445768463156513</x:v>
      </x:c>
      <x:c r="AA18" s="68" t="n">
        <x:f>'2_Calculations'!Q16</x:f>
        <x:v>0.8804437279351164</x:v>
      </x:c>
      <x:c r="AB18" s="68" t="n">
        <x:f>P18+Z18</x:f>
        <x:v>143.8507684631565</x:v>
      </x:c>
      <x:c r="AC18" s="68" t="n">
        <x:f>100*AB18/$B$5</x:f>
        <x:v>11.065443727935115</x:v>
      </x:c>
    </x:row>
    <x:row r="19">
      <x:c r="A19" s="30" t="str">
        <x:v>B2M600170H</x:v>
      </x:c>
      <x:c r="B19" s="32" t="n">
        <x:v>11</x:v>
      </x:c>
      <x:c r="C19" s="34" t="n">
        <x:v>0.6</x:v>
      </x:c>
      <x:c r="D19" s="34" t="n">
        <x:v>2.05</x:v>
      </x:c>
      <x:c r="E19" s="34" t="n">
        <x:f>C19*D19</x:f>
        <x:v>1.2299999999999998</x:v>
      </x:c>
      <x:c r="F19" s="34" t="n">
        <x:v>2</x:v>
      </x:c>
      <x:c r="G19" s="30" t="n">
        <x:v>175</x:v>
      </x:c>
      <x:c r="H19" s="30" t="str">
        <x:v>Hot factor ≈2.05 from datasheet/temperature behavior; RθJC=2.00 K/W. Treated conservatively for screening.</x:v>
      </x:c>
      <x:c r="I19" s="30" t="str">
        <x:v>https://e2e.ti.com/cfs-file/__key/communityserver-discussions-components-files/196/_5B00_B2M600170H_5D00_-datasheet.pdf</x:v>
      </x:c>
      <x:c r="K19" s="30" t="str">
        <x:v>B2M600170H</x:v>
      </x:c>
      <x:c r="L19" s="64" t="n">
        <x:f>E19</x:f>
        <x:v>1.2299999999999998</x:v>
      </x:c>
      <x:c r="M19" s="64" t="n">
        <x:f>$B$13</x:f>
        <x:v>5.0990195135927845</x:v>
      </x:c>
      <x:c r="N19" s="64" t="n">
        <x:f>M19^2*L19</x:f>
        <x:v>31.97999999999999</x:v>
      </x:c>
      <x:c r="O19" s="64" t="n">
        <x:f>N19*(1+$B$12)</x:f>
        <x:v>39.97499999999999</x:v>
      </x:c>
      <x:c r="P19" s="64" t="n">
        <x:f>O19*$B$8</x:f>
        <x:v>79.94999999999997</x:v>
      </x:c>
      <x:c r="Q19" s="64" t="n">
        <x:f>O19*F19</x:f>
        <x:v>79.94999999999997</x:v>
      </x:c>
      <x:c r="R19" s="64" t="n">
        <x:f>O19*$B$11</x:f>
        <x:v>7.994999999999997</x:v>
      </x:c>
      <x:c r="S19" s="64" t="n">
        <x:f>$B$9-Q19-R19</x:f>
        <x:v>62.05500000000003</x:v>
      </x:c>
      <x:c r="T19" s="64" t="n">
        <x:f>S19-$B$4</x:f>
        <x:v>7.055000000000028</x:v>
      </x:c>
      <x:c r="U19" s="64" t="n">
        <x:f>IF(T19&lt;=0,-1,T19/P19)</x:f>
        <x:v>0.08824265165728619</x:v>
      </x:c>
      <x:c r="V19" s="64" t="n">
        <x:f>$B$4+P19*0.5+O19*(F19+$B$11)</x:f>
        <x:v>182.91999999999996</x:v>
      </x:c>
      <x:c r="W19" s="64" t="n">
        <x:f>$B$4+P19*0.25+O19*(F19+$B$11)</x:f>
        <x:v>162.93249999999998</x:v>
      </x:c>
      <x:c r="X19" s="64" t="n">
        <x:f>$B$4+P19*0.10+O19*(F19+$B$11)</x:f>
        <x:v>150.93999999999997</x:v>
      </x:c>
      <x:c r="Y19" s="30" t="str">
        <x:f>IF(U19&lt;0,"NOT VIABLE to 150°C even with ideal sink",IF(U19&lt;0.15,"VERY HARD: liquid/large forced-air class",IF(U19&lt;0.35,"HARD: strong forced-air/cold plate",IF(U19&lt;1,"PRACTICAL with substantial heatsink","EASY thermal load"))))</x:f>
        <x:v>VERY HARD: liquid/large forced-air class</x:v>
      </x:c>
      <x:c r="Z19" s="68" t="n">
        <x:f>'2_Calculations'!P17</x:f>
        <x:v>13.82382053863176</x:v>
      </x:c>
      <x:c r="AA19" s="68" t="n">
        <x:f>'2_Calculations'!Q17</x:f>
        <x:v>1.0633708106639816</x:v>
      </x:c>
      <x:c r="AB19" s="68" t="n">
        <x:f>P19+Z19</x:f>
        <x:v>93.77382053863174</x:v>
      </x:c>
      <x:c r="AC19" s="68" t="n">
        <x:f>100*AB19/$B$5</x:f>
        <x:v>7.21337081066398</x:v>
      </x:c>
    </x:row>
    <x:row r="20">
      <x:c r="A20" s="30" t="str">
        <x:v>IMBF170R650M1</x:v>
      </x:c>
      <x:c r="B20" s="32" t="n">
        <x:v>12</x:v>
      </x:c>
      <x:c r="C20" s="34" t="n">
        <x:v>0.65</x:v>
      </x:c>
      <x:c r="D20" s="34" t="n">
        <x:v>2.036923076923077</x:v>
      </x:c>
      <x:c r="E20" s="34" t="n">
        <x:f>C20*D20</x:f>
        <x:v>1.324</x:v>
      </x:c>
      <x:c r="F20" s="34" t="n">
        <x:v>1.1</x:v>
      </x:c>
      <x:c r="G20" s="30" t="n">
        <x:v>175</x:v>
      </x:c>
      <x:c r="H20" s="30" t="str">
        <x:v>Datasheet typ: 0.650 Ω @25°C → 1.324 Ω @175°C, VGS=12 V.</x:v>
      </x:c>
      <x:c r="I20" s="30" t="str">
        <x:v>https://www.infineon.com/assets/row/public/documents/60/49/infineon-imbf170r650m1-datasheet-en.pdf</x:v>
      </x:c>
      <x:c r="K20" s="30" t="str">
        <x:v>IMBF170R650M1</x:v>
      </x:c>
      <x:c r="L20" s="64" t="n">
        <x:f>E20</x:f>
        <x:v>1.324</x:v>
      </x:c>
      <x:c r="M20" s="64" t="n">
        <x:f>$B$13</x:f>
        <x:v>5.0990195135927845</x:v>
      </x:c>
      <x:c r="N20" s="64" t="n">
        <x:f>M20^2*L20</x:f>
        <x:v>34.424</x:v>
      </x:c>
      <x:c r="O20" s="64" t="n">
        <x:f>N20*(1+$B$12)</x:f>
        <x:v>43.03</x:v>
      </x:c>
      <x:c r="P20" s="64" t="n">
        <x:f>O20*$B$8</x:f>
        <x:v>86.06</x:v>
      </x:c>
      <x:c r="Q20" s="64" t="n">
        <x:f>O20*F20</x:f>
        <x:v>47.333000000000006</x:v>
      </x:c>
      <x:c r="R20" s="64" t="n">
        <x:f>O20*$B$11</x:f>
        <x:v>8.606</x:v>
      </x:c>
      <x:c r="S20" s="64" t="n">
        <x:f>$B$9-Q20-R20</x:f>
        <x:v>94.061</x:v>
      </x:c>
      <x:c r="T20" s="64" t="n">
        <x:f>S20-$B$4</x:f>
        <x:v>39.06100000000001</x:v>
      </x:c>
      <x:c r="U20" s="64" t="n">
        <x:f>IF(T20&lt;=0,-1,T20/P20)</x:f>
        <x:v>0.4538810132465722</x:v>
      </x:c>
      <x:c r="V20" s="64" t="n">
        <x:f>$B$4+P20*0.5+O20*(F20+$B$11)</x:f>
        <x:v>153.969</x:v>
      </x:c>
      <x:c r="W20" s="64" t="n">
        <x:f>$B$4+P20*0.25+O20*(F20+$B$11)</x:f>
        <x:v>132.454</x:v>
      </x:c>
      <x:c r="X20" s="64" t="n">
        <x:f>$B$4+P20*0.10+O20*(F20+$B$11)</x:f>
        <x:v>119.545</x:v>
      </x:c>
      <x:c r="Y20" s="30" t="str">
        <x:f>IF(U20&lt;0,"NOT VIABLE to 150°C even with ideal sink",IF(U20&lt;0.15,"VERY HARD: liquid/large forced-air class",IF(U20&lt;0.35,"HARD: strong forced-air/cold plate",IF(U20&lt;1,"PRACTICAL with substantial heatsink","EASY thermal load"))))</x:f>
        <x:v>PRACTICAL with substantial heatsink</x:v>
      </x:c>
      <x:c r="Z20" s="68" t="n">
        <x:f>'2_Calculations'!P18</x:f>
        <x:v>16.41830286311702</x:v>
      </x:c>
      <x:c r="AA20" s="68" t="n">
        <x:f>'2_Calculations'!Q18</x:f>
        <x:v>1.2629463740859248</x:v>
      </x:c>
      <x:c r="AB20" s="68" t="n">
        <x:f>P20+Z20</x:f>
        <x:v>102.47830286311702</x:v>
      </x:c>
      <x:c r="AC20" s="68" t="n">
        <x:f>100*AB20/$B$5</x:f>
        <x:v>7.8829463740859245</x:v>
      </x:c>
    </x:row>
    <x:row r="21">
      <x:c r="A21" s="30" t="str">
        <x:v>MSC750SMA170B</x:v>
      </x:c>
      <x:c r="B21" s="32" t="n">
        <x:v>14</x:v>
      </x:c>
      <x:c r="C21" s="34" t="n">
        <x:v>0.75</x:v>
      </x:c>
      <x:c r="D21" s="34" t="n">
        <x:v>2</x:v>
      </x:c>
      <x:c r="E21" s="34" t="n">
        <x:f>C21*D21</x:f>
        <x:v>1.5</x:v>
      </x:c>
      <x:c r="F21" s="34" t="n">
        <x:v>1.9</x:v>
      </x:c>
      <x:c r="G21" s="30" t="n">
        <x:v>175</x:v>
      </x:c>
      <x:c r="H21" s="30" t="str">
        <x:v>Conservative 2.0× hot-RDS screening factor; RθJC uses datasheet MAX 1.90°C/W. Final design must read RDS(on)-vs-Tj graph.</x:v>
      </x:c>
      <x:c r="I21" s="30" t="str">
        <x:v>https://ww1.microchip.com/downloads/aemDocuments/documents/sic/ProductDocuments/DataSheets/MSC750SMA170B-SiC-MOSFET-Datasheet.pdf</x:v>
      </x:c>
      <x:c r="K21" s="30" t="str">
        <x:v>MSC750SMA170B</x:v>
      </x:c>
      <x:c r="L21" s="64" t="n">
        <x:f>E21</x:f>
        <x:v>1.5</x:v>
      </x:c>
      <x:c r="M21" s="64" t="n">
        <x:f>$B$13</x:f>
        <x:v>5.0990195135927845</x:v>
      </x:c>
      <x:c r="N21" s="64" t="n">
        <x:f>M21^2*L21</x:f>
        <x:v>38.99999999999999</x:v>
      </x:c>
      <x:c r="O21" s="64" t="n">
        <x:f>N21*(1+$B$12)</x:f>
        <x:v>48.74999999999999</x:v>
      </x:c>
      <x:c r="P21" s="64" t="n">
        <x:f>O21*$B$8</x:f>
        <x:v>97.49999999999999</x:v>
      </x:c>
      <x:c r="Q21" s="64" t="n">
        <x:f>O21*F21</x:f>
        <x:v>92.62499999999999</x:v>
      </x:c>
      <x:c r="R21" s="64" t="n">
        <x:f>O21*$B$11</x:f>
        <x:v>9.75</x:v>
      </x:c>
      <x:c r="S21" s="64" t="n">
        <x:f>$B$9-Q21-R21</x:f>
        <x:v>47.625000000000014</x:v>
      </x:c>
      <x:c r="T21" s="64" t="n">
        <x:f>S21-$B$4</x:f>
        <x:v>-7.374999999999986</x:v>
      </x:c>
      <x:c r="U21" s="64" t="n">
        <x:f>IF(T21&lt;=0,-1,T21/P21)</x:f>
        <x:v>-1</x:v>
      </x:c>
      <x:c r="V21" s="64" t="n">
        <x:f>$B$4+P21*0.5+O21*(F21+$B$11)</x:f>
        <x:v>206.125</x:v>
      </x:c>
      <x:c r="W21" s="64" t="n">
        <x:f>$B$4+P21*0.25+O21*(F21+$B$11)</x:f>
        <x:v>181.75</x:v>
      </x:c>
      <x:c r="X21" s="64" t="n">
        <x:f>$B$4+P21*0.10+O21*(F21+$B$11)</x:f>
        <x:v>167.125</x:v>
      </x:c>
      <x:c r="Y21" s="30" t="str">
        <x:f>IF(U21&lt;0,"NOT VIABLE to 150°C even with ideal sink",IF(U21&lt;0.15,"VERY HARD: liquid/large forced-air class",IF(U21&lt;0.35,"HARD: strong forced-air/cold plate",IF(U21&lt;1,"PRACTICAL with substantial heatsink","EASY thermal load"))))</x:f>
        <x:v>NOT VIABLE to 150°C even with ideal sink</x:v>
      </x:c>
      <x:c r="Z21" s="68" t="n">
        <x:f>'2_Calculations'!P19</x:f>
        <x:v>22.24567992192204</x:v>
      </x:c>
      <x:c r="AA21" s="68" t="n">
        <x:f>'2_Calculations'!Q19</x:f>
        <x:v>1.711206147840157</x:v>
      </x:c>
      <x:c r="AB21" s="68" t="n">
        <x:f>P21+Z21</x:f>
        <x:v>119.74567992192203</x:v>
      </x:c>
      <x:c r="AC21" s="68" t="n">
        <x:f>100*AB21/$B$5</x:f>
        <x:v>9.211206147840157</x:v>
      </x:c>
    </x:row>
    <x:row r="22">
      <x:c r="A22" s="30" t="str">
        <x:v>DIW170SIC750</x:v>
      </x:c>
      <x:c r="B22" s="32" t="n">
        <x:v>14</x:v>
      </x:c>
      <x:c r="C22" s="34" t="n">
        <x:v>0.85</x:v>
      </x:c>
      <x:c r="D22" s="34" t="n">
        <x:v>1.7384615384615383</x:v>
      </x:c>
      <x:c r="E22" s="34" t="n">
        <x:f>C22*D22</x:f>
        <x:v>1.4776923076923074</x:v>
      </x:c>
      <x:c r="F22" s="34" t="n">
        <x:v>1.78</x:v>
      </x:c>
      <x:c r="G22" s="30" t="n">
        <x:v>175</x:v>
      </x:c>
      <x:c r="H22" s="30" t="str">
        <x:v>Datasheet typ 0.65 Ω @25°C → 1.13 Ω @175°C; factor applied to 0.85 Ω screening RDS25. RθJC=1.78 K/W.</x:v>
      </x:c>
      <x:c r="I22" s="30" t="str">
        <x:v>https://diotec.com/request/datasheet/diw170sic750.pdf</x:v>
      </x:c>
      <x:c r="K22" s="30" t="str">
        <x:v>DIW170SIC750</x:v>
      </x:c>
      <x:c r="L22" s="64" t="n">
        <x:f>E22</x:f>
        <x:v>1.4776923076923074</x:v>
      </x:c>
      <x:c r="M22" s="64" t="n">
        <x:f>$B$13</x:f>
        <x:v>5.0990195135927845</x:v>
      </x:c>
      <x:c r="N22" s="64" t="n">
        <x:f>M22^2*L22</x:f>
        <x:v>38.41999999999999</x:v>
      </x:c>
      <x:c r="O22" s="64" t="n">
        <x:f>N22*(1+$B$12)</x:f>
        <x:v>48.024999999999984</x:v>
      </x:c>
      <x:c r="P22" s="64" t="n">
        <x:f>O22*$B$8</x:f>
        <x:v>96.04999999999997</x:v>
      </x:c>
      <x:c r="Q22" s="64" t="n">
        <x:f>O22*F22</x:f>
        <x:v>85.48449999999997</x:v>
      </x:c>
      <x:c r="R22" s="64" t="n">
        <x:f>O22*$B$11</x:f>
        <x:v>9.604999999999997</x:v>
      </x:c>
      <x:c r="S22" s="64" t="n">
        <x:f>$B$9-Q22-R22</x:f>
        <x:v>54.910500000000035</x:v>
      </x:c>
      <x:c r="T22" s="64" t="n">
        <x:f>S22-$B$4</x:f>
        <x:v>-0.0894999999999655</x:v>
      </x:c>
      <x:c r="U22" s="64" t="n">
        <x:f>IF(T22&lt;=0,-1,T22/P22)</x:f>
        <x:v>-1</x:v>
      </x:c>
      <x:c r="V22" s="64" t="n">
        <x:f>$B$4+P22*0.5+O22*(F22+$B$11)</x:f>
        <x:v>198.11449999999996</x:v>
      </x:c>
      <x:c r="W22" s="64" t="n">
        <x:f>$B$4+P22*0.25+O22*(F22+$B$11)</x:f>
        <x:v>174.10199999999998</x:v>
      </x:c>
      <x:c r="X22" s="64" t="n">
        <x:f>$B$4+P22*0.10+O22*(F22+$B$11)</x:f>
        <x:v>159.69449999999995</x:v>
      </x:c>
      <x:c r="Y22" s="30" t="str">
        <x:f>IF(U22&lt;0,"NOT VIABLE to 150°C even with ideal sink",IF(U22&lt;0.15,"VERY HARD: liquid/large forced-air class",IF(U22&lt;0.35,"HARD: strong forced-air/cold plate",IF(U22&lt;1,"PRACTICAL with substantial heatsink","EASY thermal load"))))</x:f>
        <x:v>NOT VIABLE to 150°C even with ideal sink</x:v>
      </x:c>
      <x:c r="Z22" s="68" t="n">
        <x:f>'2_Calculations'!P20</x:f>
        <x:v>22.24567992192204</x:v>
      </x:c>
      <x:c r="AA22" s="68" t="n">
        <x:f>'2_Calculations'!Q20</x:f>
        <x:v>1.711206147840157</x:v>
      </x:c>
      <x:c r="AB22" s="68" t="n">
        <x:f>P22+Z22</x:f>
        <x:v>118.29567992192202</x:v>
      </x:c>
      <x:c r="AC22" s="68" t="n">
        <x:f>100*AB22/$B$5</x:f>
        <x:v>9.099667686301693</x:v>
      </x:c>
    </x:row>
    <x:row r="23">
      <x:c r="A23" s="30" t="str">
        <x:v>IMWH170R650M1</x:v>
      </x:c>
      <x:c r="B23" s="32" t="n">
        <x:v>15</x:v>
      </x:c>
      <x:c r="C23" s="34" t="n">
        <x:v>0.65</x:v>
      </x:c>
      <x:c r="D23" s="34" t="n">
        <x:v>2.036923076923077</x:v>
      </x:c>
      <x:c r="E23" s="34" t="n">
        <x:f>C23*D23</x:f>
        <x:v>1.324</x:v>
      </x:c>
      <x:c r="F23" s="34" t="n">
        <x:v>1.69</x:v>
      </x:c>
      <x:c r="G23" s="30" t="n">
        <x:v>175</x:v>
      </x:c>
      <x:c r="H23" s="30" t="str">
        <x:v>Datasheet typ: 0.650 Ω @25°C → 1.324 Ω @175°C, VGS=12 V.</x:v>
      </x:c>
      <x:c r="I23" s="30" t="str">
        <x:v>https://www.infineon.com/assets/row/public/documents/60/49/infineon-imwh170r650m1-datasheet-en.pdf</x:v>
      </x:c>
      <x:c r="K23" s="30" t="str">
        <x:v>IMWH170R650M1</x:v>
      </x:c>
      <x:c r="L23" s="64" t="n">
        <x:f>E23</x:f>
        <x:v>1.324</x:v>
      </x:c>
      <x:c r="M23" s="64" t="n">
        <x:f>$B$13</x:f>
        <x:v>5.0990195135927845</x:v>
      </x:c>
      <x:c r="N23" s="64" t="n">
        <x:f>M23^2*L23</x:f>
        <x:v>34.424</x:v>
      </x:c>
      <x:c r="O23" s="64" t="n">
        <x:f>N23*(1+$B$12)</x:f>
        <x:v>43.03</x:v>
      </x:c>
      <x:c r="P23" s="64" t="n">
        <x:f>O23*$B$8</x:f>
        <x:v>86.06</x:v>
      </x:c>
      <x:c r="Q23" s="64" t="n">
        <x:f>O23*F23</x:f>
        <x:v>72.7207</x:v>
      </x:c>
      <x:c r="R23" s="64" t="n">
        <x:f>O23*$B$11</x:f>
        <x:v>8.606</x:v>
      </x:c>
      <x:c r="S23" s="64" t="n">
        <x:f>$B$9-Q23-R23</x:f>
        <x:v>68.67330000000001</x:v>
      </x:c>
      <x:c r="T23" s="64" t="n">
        <x:f>S23-$B$4</x:f>
        <x:v>13.673300000000012</x:v>
      </x:c>
      <x:c r="U23" s="64" t="n">
        <x:f>IF(T23&lt;=0,-1,T23/P23)</x:f>
        <x:v>0.15888101324657228</x:v>
      </x:c>
      <x:c r="V23" s="64" t="n">
        <x:f>$B$4+P23*0.5+O23*(F23+$B$11)</x:f>
        <x:v>179.3567</x:v>
      </x:c>
      <x:c r="W23" s="64" t="n">
        <x:f>$B$4+P23*0.25+O23*(F23+$B$11)</x:f>
        <x:v>157.8417</x:v>
      </x:c>
      <x:c r="X23" s="64" t="n">
        <x:f>$B$4+P23*0.10+O23*(F23+$B$11)</x:f>
        <x:v>144.9327</x:v>
      </x:c>
      <x:c r="Y23" s="30" t="str">
        <x:f>IF(U23&lt;0,"NOT VIABLE to 150°C even with ideal sink",IF(U23&lt;0.15,"VERY HARD: liquid/large forced-air class",IF(U23&lt;0.35,"HARD: strong forced-air/cold plate",IF(U23&lt;1,"PRACTICAL with substantial heatsink","EASY thermal load"))))</x:f>
        <x:v>HARD: strong forced-air/cold plate</x:v>
      </x:c>
      <x:c r="Z23" s="68" t="n">
        <x:f>'2_Calculations'!P21</x:f>
        <x:v>25.472638729559677</x:v>
      </x:c>
      <x:c r="AA23" s="68" t="n">
        <x:f>'2_Calculations'!Q21</x:f>
        <x:v>1.9594337484276674</x:v>
      </x:c>
      <x:c r="AB23" s="68" t="n">
        <x:f>P23+Z23</x:f>
        <x:v>111.53263872955968</x:v>
      </x:c>
      <x:c r="AC23" s="68" t="n">
        <x:f>100*AB23/$B$5</x:f>
        <x:v>8.579433748427668</x:v>
      </x:c>
    </x:row>
    <x:row r="27">
      <x:c r="A27" s="101" t="str">
        <x:v>DESIGN INTERPRETATION
• The 10 pF IMWH170R1K0M1 is thermally the worst low-Coss candidate at 1300 W because its hot RDS(on) is very high. At 55°C ambient it can exceed the 150°C design target even before a realistic heatsink rise is included.
• B2M600170H reaches the 11 pF target but demands an extremely low shared heatsink thermal resistance at full power; this is forced-air / cold-plate territory, not a small passive heatsink.
• IMBF170R650M1 benefits from lower RθJC than the TO-247 low-Coss parts and is thermally easier, although package/PCB heat spreading becomes important.
• The original IMZC140R029M2H is dramatically easier thermally because of its very low RDS(on), but its 67 pF Coss hurts OFF-state isolation.
This is a WORST-CASE SCREENING model, not a final RF thermal qualification. At 30 MHz the datasheet DC RDS(on), package inductance, RF current distribution, PCB copper loss, connector loss and device capacitance are not enough to guarantee real dissipation. Final hardware should be verified by RF power testing and temperature measurement.</x:v>
      </x:c>
      <x:c r="B27" s="101"/>
      <x:c r="C27" s="101"/>
      <x:c r="D27" s="101"/>
      <x:c r="E27" s="101"/>
      <x:c r="F27" s="101"/>
      <x:c r="G27" s="101"/>
      <x:c r="H27" s="101"/>
      <x:c r="I27" s="101"/>
      <x:c r="K27" s="96" t="str">
        <x:v>Part Number</x:v>
      </x:c>
      <x:c r="L27" s="96" t="str">
        <x:v>Ceq B2B (pF)</x:v>
      </x:c>
      <x:c r="M27" s="96" t="str">
        <x:v>Xc @30MHz (Ω)</x:v>
      </x:c>
      <x:c r="N27" s="96" t="str">
        <x:v>Estimated Isolation @30MHz (dB)</x:v>
      </x:c>
      <x:c r="O27" s="96" t="str">
        <x:v>Estimated leaked power @30MHz (W)</x:v>
      </x:c>
      <x:c r="P27" s="96" t="str">
        <x:v>Thermal interpretation</x:v>
      </x:c>
    </x:row>
    <x:row r="28">
      <x:c r="A28" s="101"/>
      <x:c r="B28" s="101"/>
      <x:c r="C28" s="101"/>
      <x:c r="D28" s="101"/>
      <x:c r="E28" s="101"/>
      <x:c r="F28" s="101"/>
      <x:c r="G28" s="101"/>
      <x:c r="H28" s="101"/>
      <x:c r="I28" s="101"/>
      <x:c r="K28" s="30" t="str">
        <x:v>IMZC140R029M2H</x:v>
      </x:c>
      <x:c r="L28" s="64" t="n">
        <x:f>'2_Calculations'!F15</x:f>
        <x:v>33.5</x:v>
      </x:c>
      <x:c r="M28" s="64" t="n">
        <x:f>'2_Calculations'!M15</x:f>
        <x:v>158.36312745462223</x:v>
      </x:c>
      <x:c r="N28" s="64" t="n">
        <x:f>'2_Calculations'!O15</x:f>
        <x:v>5.45045720441046</x:v>
      </x:c>
      <x:c r="O28" s="64" t="n">
        <x:f>'2_Calculations'!P15</x:f>
        <x:v>370.59335842966726</x:v>
      </x:c>
      <x:c r="P28" s="30" t="str">
        <x:v>Do NOT add all leaked power as MOSFET heat; this is mainly RF transferred through the OFF capacitance. Real Coss ESR/dielectric/package loss needs RF measurement or an RF model.</x:v>
      </x:c>
    </x:row>
    <x:row r="29">
      <x:c r="A29" s="101"/>
      <x:c r="B29" s="101"/>
      <x:c r="C29" s="101"/>
      <x:c r="D29" s="101"/>
      <x:c r="E29" s="101"/>
      <x:c r="F29" s="101"/>
      <x:c r="G29" s="101"/>
      <x:c r="H29" s="101"/>
      <x:c r="I29" s="101"/>
      <x:c r="K29" s="30" t="str">
        <x:v>IMWH170R1K0M1</x:v>
      </x:c>
      <x:c r="L29" s="64" t="n">
        <x:f>'2_Calculations'!F16</x:f>
        <x:v>5</x:v>
      </x:c>
      <x:c r="M29" s="64" t="n">
        <x:f>'2_Calculations'!M16</x:f>
        <x:v>1061.032953945969</x:v>
      </x:c>
      <x:c r="N29" s="64" t="n">
        <x:f>'2_Calculations'!O16</x:f>
        <x:v>20.552983960036002</x:v>
      </x:c>
      <x:c r="O29" s="64" t="n">
        <x:f>'2_Calculations'!P16</x:f>
        <x:v>11.445768463156513</x:v>
      </x:c>
      <x:c r="P29" s="30" t="str">
        <x:v>Do NOT add all leaked power as MOSFET heat; this is mainly RF transferred through the OFF capacitance. Real Coss ESR/dielectric/package loss needs RF measurement or an RF model.</x:v>
      </x:c>
    </x:row>
    <x:row r="30">
      <x:c r="A30" s="101"/>
      <x:c r="B30" s="101"/>
      <x:c r="C30" s="101"/>
      <x:c r="D30" s="101"/>
      <x:c r="E30" s="101"/>
      <x:c r="F30" s="101"/>
      <x:c r="G30" s="101"/>
      <x:c r="H30" s="101"/>
      <x:c r="I30" s="101"/>
      <x:c r="K30" s="30" t="str">
        <x:v>B2M600170H</x:v>
      </x:c>
      <x:c r="L30" s="64" t="n">
        <x:f>'2_Calculations'!F17</x:f>
        <x:v>5.5</x:v>
      </x:c>
      <x:c r="M30" s="64" t="n">
        <x:f>'2_Calculations'!M17</x:f>
        <x:v>964.5754126781537</x:v>
      </x:c>
      <x:c r="N30" s="64" t="n">
        <x:f>'2_Calculations'!O17</x:f>
        <x:v>19.73315265163038</x:v>
      </x:c>
      <x:c r="O30" s="64" t="n">
        <x:f>'2_Calculations'!P17</x:f>
        <x:v>13.82382053863176</x:v>
      </x:c>
      <x:c r="P30" s="30" t="str">
        <x:v>Do NOT add all leaked power as MOSFET heat; this is mainly RF transferred through the OFF capacitance. Real Coss ESR/dielectric/package loss needs RF measurement or an RF model.</x:v>
      </x:c>
    </x:row>
    <x:row r="31">
      <x:c r="A31" s="101"/>
      <x:c r="B31" s="101"/>
      <x:c r="C31" s="101"/>
      <x:c r="D31" s="101"/>
      <x:c r="E31" s="101"/>
      <x:c r="F31" s="101"/>
      <x:c r="G31" s="101"/>
      <x:c r="H31" s="101"/>
      <x:c r="I31" s="101"/>
      <x:c r="K31" s="30" t="str">
        <x:v>IMBF170R650M1</x:v>
      </x:c>
      <x:c r="L31" s="64" t="n">
        <x:f>'2_Calculations'!F18</x:f>
        <x:v>6</x:v>
      </x:c>
      <x:c r="M31" s="64" t="n">
        <x:f>'2_Calculations'!M18</x:f>
        <x:v>884.1941282883075</x:v>
      </x:c>
      <x:c r="N31" s="64" t="n">
        <x:f>'2_Calculations'!O18</x:f>
        <x:v>18.98615089613322</x:v>
      </x:c>
      <x:c r="O31" s="64" t="n">
        <x:f>'2_Calculations'!P18</x:f>
        <x:v>16.41830286311702</x:v>
      </x:c>
      <x:c r="P31" s="30" t="str">
        <x:v>Do NOT add all leaked power as MOSFET heat; this is mainly RF transferred through the OFF capacitance. Real Coss ESR/dielectric/package loss needs RF measurement or an RF model.</x:v>
      </x:c>
    </x:row>
    <x:row r="32">
      <x:c r="A32" s="101"/>
      <x:c r="B32" s="101"/>
      <x:c r="C32" s="101"/>
      <x:c r="D32" s="101"/>
      <x:c r="E32" s="101"/>
      <x:c r="F32" s="101"/>
      <x:c r="G32" s="101"/>
      <x:c r="H32" s="101"/>
      <x:c r="I32" s="101"/>
      <x:c r="K32" s="30" t="str">
        <x:v>MSC750SMA170B</x:v>
      </x:c>
      <x:c r="L32" s="64" t="n">
        <x:f>'2_Calculations'!F19</x:f>
        <x:v>7</x:v>
      </x:c>
      <x:c r="M32" s="64" t="n">
        <x:f>'2_Calculations'!M19</x:f>
        <x:v>757.8806813899778</x:v>
      </x:c>
      <x:c r="N32" s="64" t="n">
        <x:f>'2_Calculations'!O19</x:f>
        <x:v>17.666976681465222</x:v>
      </x:c>
      <x:c r="O32" s="64" t="n">
        <x:f>'2_Calculations'!P19</x:f>
        <x:v>22.24567992192204</x:v>
      </x:c>
      <x:c r="P32" s="30" t="str">
        <x:v>Do NOT add all leaked power as MOSFET heat; this is mainly RF transferred through the OFF capacitance. Real Coss ESR/dielectric/package loss needs RF measurement or an RF model.</x:v>
      </x:c>
    </x:row>
    <x:row r="33">
      <x:c r="A33" s="101"/>
      <x:c r="B33" s="101"/>
      <x:c r="C33" s="101"/>
      <x:c r="D33" s="101"/>
      <x:c r="E33" s="101"/>
      <x:c r="F33" s="101"/>
      <x:c r="G33" s="101"/>
      <x:c r="H33" s="101"/>
      <x:c r="I33" s="101"/>
      <x:c r="K33" s="30" t="str">
        <x:v>DIW170SIC750</x:v>
      </x:c>
      <x:c r="L33" s="64" t="n">
        <x:f>'2_Calculations'!F20</x:f>
        <x:v>7</x:v>
      </x:c>
      <x:c r="M33" s="64" t="n">
        <x:f>'2_Calculations'!M20</x:f>
        <x:v>757.8806813899778</x:v>
      </x:c>
      <x:c r="N33" s="64" t="n">
        <x:f>'2_Calculations'!O20</x:f>
        <x:v>17.666976681465222</x:v>
      </x:c>
      <x:c r="O33" s="64" t="n">
        <x:f>'2_Calculations'!P20</x:f>
        <x:v>22.24567992192204</x:v>
      </x:c>
      <x:c r="P33" s="30" t="str">
        <x:v>Do NOT add all leaked power as MOSFET heat; this is mainly RF transferred through the OFF capacitance. Real Coss ESR/dielectric/package loss needs RF measurement or an RF model.</x:v>
      </x:c>
    </x:row>
    <x:row r="34">
      <x:c r="A34" s="101"/>
      <x:c r="B34" s="101"/>
      <x:c r="C34" s="101"/>
      <x:c r="D34" s="101"/>
      <x:c r="E34" s="101"/>
      <x:c r="F34" s="101"/>
      <x:c r="G34" s="101"/>
      <x:c r="H34" s="101"/>
      <x:c r="I34" s="101"/>
      <x:c r="K34" s="30" t="str">
        <x:v>IMWH170R650M1</x:v>
      </x:c>
      <x:c r="L34" s="64" t="n">
        <x:f>'2_Calculations'!F21</x:f>
        <x:v>7.5</x:v>
      </x:c>
      <x:c r="M34" s="64" t="n">
        <x:f>'2_Calculations'!M21</x:f>
        <x:v>707.355302630646</x:v>
      </x:c>
      <x:c r="N34" s="64" t="n">
        <x:f>'2_Calculations'!O21</x:f>
        <x:v>17.07869416124996</x:v>
      </x:c>
      <x:c r="O34" s="64" t="n">
        <x:f>'2_Calculations'!P21</x:f>
        <x:v>25.472638729559677</x:v>
      </x:c>
      <x:c r="P34" s="30" t="str">
        <x:v>Do NOT add all leaked power as MOSFET heat; this is mainly RF transferred through the OFF capacitance. Real Coss ESR/dielectric/package loss needs RF measurement or an RF model.</x:v>
      </x:c>
    </x:row>
    <x:row r="37">
      <x:c r="K37" s="119" t="str">
        <x:v>Rank</x:v>
      </x:c>
      <x:c r="L37" s="119" t="str">
        <x:v>Part Number</x:v>
      </x:c>
      <x:c r="M37" s="119" t="str">
        <x:v>Project Fit</x:v>
      </x:c>
      <x:c r="N37" s="119" t="str">
        <x:v>Reason</x:v>
      </x:c>
      <x:c r="P37" s="123" t="str">
        <x:v>IMPORTANT — WHAT THE POWER COLUMNS MEAN
Leaked Power (W / %) = RF power estimated to appear at the OFF branch because the two OFF MOSFETs still have finite output capacitance. Lower is better for switch isolation.
Total Pair Thermal Loss (column P) = estimated heat generated in the two ON MOSFETs using hot RDS(on) and the editable RF/parasitic margin. This is the value relevant to the heatsink.
Total Unwanted Power Worst-Case (AB / AC) = hot MOSFET thermal loss + OFF-branch leaked RF power. It is useful as a system-level comparison of how much of the 1300 W is either dissipated as heat or sent toward the wrong port. Do NOT size the heatsink from AB; size it from the thermal loss in column P.</x:v>
      </x:c>
      <x:c r="Q37" s="123"/>
      <x:c r="R37" s="123"/>
      <x:c r="S37" s="123"/>
      <x:c r="T37" s="123"/>
      <x:c r="U37" s="123"/>
      <x:c r="V37" s="123"/>
      <x:c r="W37" s="123"/>
      <x:c r="X37" s="123"/>
      <x:c r="Y37" s="123"/>
      <x:c r="Z37" s="123"/>
      <x:c r="AA37" s="123"/>
      <x:c r="AB37" s="123"/>
      <x:c r="AC37" s="123"/>
    </x:row>
    <x:row r="38">
      <x:c r="K38" s="30" t="n">
        <x:v>1</x:v>
      </x:c>
      <x:c r="L38" s="30" t="str">
        <x:v>IMBF170R650M1</x:v>
      </x:c>
      <x:c r="M38" s="30" t="str">
        <x:v>BEST LOW-COSS CANDIDATE</x:v>
      </x:c>
      <x:c r="N38" s="30" t="str">
        <x:v>12 pF Coss, 7.4 A class, and the most manageable thermal path among the low-Coss candidates. Best balance of OFF isolation vs heat.</x:v>
      </x:c>
      <x:c r="P38" s="123"/>
      <x:c r="Q38" s="123"/>
      <x:c r="R38" s="123"/>
      <x:c r="S38" s="123"/>
      <x:c r="T38" s="123"/>
      <x:c r="U38" s="123"/>
      <x:c r="V38" s="123"/>
      <x:c r="W38" s="123"/>
      <x:c r="X38" s="123"/>
      <x:c r="Y38" s="123"/>
      <x:c r="Z38" s="123"/>
      <x:c r="AA38" s="123"/>
      <x:c r="AB38" s="123"/>
      <x:c r="AC38" s="123"/>
    </x:row>
    <x:row r="39">
      <x:c r="K39" s="30" t="n">
        <x:v>2</x:v>
      </x:c>
      <x:c r="L39" s="30" t="str">
        <x:v>IMWH170R650M1</x:v>
      </x:c>
      <x:c r="M39" s="30" t="str">
        <x:v>POSSIBLE</x:v>
      </x:c>
      <x:c r="N39" s="30" t="str">
        <x:v>15 pF Coss and 7.5 A; TO-247 is convenient. Thermal requirement is much harder than IMBF170R650M1, so strong forced-air/cold plate is likely.</x:v>
      </x:c>
      <x:c r="P39" s="123"/>
      <x:c r="Q39" s="123"/>
      <x:c r="R39" s="123"/>
      <x:c r="S39" s="123"/>
      <x:c r="T39" s="123"/>
      <x:c r="U39" s="123"/>
      <x:c r="V39" s="123"/>
      <x:c r="W39" s="123"/>
      <x:c r="X39" s="123"/>
      <x:c r="Y39" s="123"/>
      <x:c r="Z39" s="123"/>
      <x:c r="AA39" s="123"/>
      <x:c r="AB39" s="123"/>
      <x:c r="AC39" s="123"/>
    </x:row>
    <x:row r="40">
      <x:c r="K40" s="30" t="n">
        <x:v>3</x:v>
      </x:c>
      <x:c r="L40" s="30" t="str">
        <x:v>B2M600170H</x:v>
      </x:c>
      <x:c r="M40" s="30" t="str">
        <x:v>RISKY</x:v>
      </x:c>
      <x:c r="N40" s="30" t="str">
        <x:v>11 pF is excellent for isolation, but 7 A current and very demanding heatsink requirement leave little thermal margin at 1300 W / 55°C.</x:v>
      </x:c>
      <x:c r="P40" s="123"/>
      <x:c r="Q40" s="123"/>
      <x:c r="R40" s="123"/>
      <x:c r="S40" s="123"/>
      <x:c r="T40" s="123"/>
      <x:c r="U40" s="123"/>
      <x:c r="V40" s="123"/>
      <x:c r="W40" s="123"/>
      <x:c r="X40" s="123"/>
      <x:c r="Y40" s="123"/>
      <x:c r="Z40" s="123"/>
      <x:c r="AA40" s="123"/>
      <x:c r="AB40" s="123"/>
      <x:c r="AC40" s="123"/>
    </x:row>
    <x:row r="41">
      <x:c r="K41" s="30" t="n">
        <x:v>4</x:v>
      </x:c>
      <x:c r="L41" s="30" t="str">
        <x:v>IMZC140R029M2H</x:v>
      </x:c>
      <x:c r="M41" s="30" t="str">
        <x:v>BASELINE / ALTERNATIVE</x:v>
      </x:c>
      <x:c r="N41" s="30" t="str">
        <x:v>Far lower thermal loss and huge current margin, but 67 pF Coss misses the project's low-capacitance objective and worsens OFF-state leakage.</x:v>
      </x:c>
      <x:c r="P41" s="123"/>
      <x:c r="Q41" s="123"/>
      <x:c r="R41" s="123"/>
      <x:c r="S41" s="123"/>
      <x:c r="T41" s="123"/>
      <x:c r="U41" s="123"/>
      <x:c r="V41" s="123"/>
      <x:c r="W41" s="123"/>
      <x:c r="X41" s="123"/>
      <x:c r="Y41" s="123"/>
      <x:c r="Z41" s="123"/>
      <x:c r="AA41" s="123"/>
      <x:c r="AB41" s="123"/>
      <x:c r="AC41" s="123"/>
    </x:row>
    <x:row r="42">
      <x:c r="K42" s="30" t="n">
        <x:v>5</x:v>
      </x:c>
      <x:c r="L42" s="30" t="str">
        <x:v>IMWH170R1K0M1</x:v>
      </x:c>
      <x:c r="M42" s="30" t="str">
        <x:v>NOT RECOMMENDED</x:v>
      </x:c>
      <x:c r="N42" s="30" t="str">
        <x:v>10 pF is the best capacitance, but high RDS(on), tiny current margin, and excessive hot conduction loss make it unsuitable for full-power continuous operation.</x:v>
      </x:c>
      <x:c r="P42" s="123"/>
      <x:c r="Q42" s="123"/>
      <x:c r="R42" s="123"/>
      <x:c r="S42" s="123"/>
      <x:c r="T42" s="123"/>
      <x:c r="U42" s="123"/>
      <x:c r="V42" s="123"/>
      <x:c r="W42" s="123"/>
      <x:c r="X42" s="123"/>
      <x:c r="Y42" s="123"/>
      <x:c r="Z42" s="123"/>
      <x:c r="AA42" s="123"/>
      <x:c r="AB42" s="123"/>
      <x:c r="AC42" s="123"/>
    </x:row>
    <x:row r="43">
      <x:c r="K43" s="30" t="n">
        <x:v>6</x:v>
      </x:c>
      <x:c r="L43" s="30" t="str">
        <x:v>MSC750SMA170B</x:v>
      </x:c>
      <x:c r="M43" s="30" t="str">
        <x:v>NOT RECOMMENDED</x:v>
      </x:c>
      <x:c r="N43" s="30" t="str">
        <x:v>14 pF Coss is good, but 100°C continuous current is about 5 A, below the calculated 5.10 Arms, with insufficient thermal margin.</x:v>
      </x:c>
      <x:c r="P43" s="123"/>
      <x:c r="Q43" s="123"/>
      <x:c r="R43" s="123"/>
      <x:c r="S43" s="123"/>
      <x:c r="T43" s="123"/>
      <x:c r="U43" s="123"/>
      <x:c r="V43" s="123"/>
      <x:c r="W43" s="123"/>
      <x:c r="X43" s="123"/>
      <x:c r="Y43" s="123"/>
      <x:c r="Z43" s="123"/>
      <x:c r="AA43" s="123"/>
      <x:c r="AB43" s="123"/>
      <x:c r="AC43" s="123"/>
    </x:row>
    <x:row r="44">
      <x:c r="K44" s="30" t="n">
        <x:v>7</x:v>
      </x:c>
      <x:c r="L44" s="30" t="str">
        <x:v>DIW170SIC750</x:v>
      </x:c>
      <x:c r="M44" s="30" t="str">
        <x:v>NOT RECOMMENDED</x:v>
      </x:c>
      <x:c r="N44" s="30" t="str">
        <x:v>14 pF Coss is good, but RDS(on) and hot loss are high; current margin at elevated temperature is too tight.</x:v>
      </x:c>
      <x:c r="P44" s="123"/>
      <x:c r="Q44" s="123"/>
      <x:c r="R44" s="123"/>
      <x:c r="S44" s="123"/>
      <x:c r="T44" s="123"/>
      <x:c r="U44" s="123"/>
      <x:c r="V44" s="123"/>
      <x:c r="W44" s="123"/>
      <x:c r="X44" s="123"/>
      <x:c r="Y44" s="123"/>
      <x:c r="Z44" s="123"/>
      <x:c r="AA44" s="123"/>
      <x:c r="AB44" s="123"/>
      <x:c r="AC44" s="123"/>
    </x:row>
  </x:sheetData>
  <x:mergeCells>
    <x:mergeCell ref="A1:V1"/>
    <x:mergeCell ref="D3:V7"/>
    <x:mergeCell ref="A27:I34"/>
    <x:mergeCell ref="P37:AC44"/>
  </x:mergeCells>
  <x:conditionalFormatting sqref="U17:U23">
    <x:cfRule type="colorScale" priority="1">
      <x:colorScale>
        <x:cfvo type="min"/>
        <x:cfvo type="percentile" val="50"/>
        <x:cfvo type="max"/>
        <x:color rgb="FFF8696B"/>
        <x:color rgb="FFFFEB84"/>
        <x:color rgb="FF63BE7B"/>
      </x:colorScale>
    </x:cfRule>
  </x:conditionalFormatting>
  <x:conditionalFormatting sqref="V17:V23">
    <x:cfRule type="cellIs" dxfId="2" priority="2" operator="greaterThan">
      <x:formula>150</x:formula>
    </x:cfRule>
    <x:cfRule type="cellIs" dxfId="3" priority="3" operator="lessThanOrEqual">
      <x:formula>150</x:formula>
    </x:cfRule>
  </x:conditionalFormatting>
  <x:conditionalFormatting sqref="W17:W23">
    <x:cfRule type="cellIs" dxfId="4" priority="4" operator="greaterThan">
      <x:formula>150</x:formula>
    </x:cfRule>
    <x:cfRule type="cellIs" dxfId="5" priority="5" operator="lessThanOrEqual">
      <x:formula>150</x:formula>
    </x:cfRule>
  </x:conditionalFormatting>
  <x:conditionalFormatting sqref="X17:X23">
    <x:cfRule type="cellIs" dxfId="6" priority="6" operator="greaterThan">
      <x:formula>150</x:formula>
    </x:cfRule>
    <x:cfRule type="cellIs" dxfId="7" priority="7" operator="lessThanOrEqual">
      <x:formula>150</x:formula>
    </x:cfRule>
  </x:conditionalFormatting>
  <x:pageMargins left="0.7" right="0.7" top="0.75" bottom="0.75" header="0.3" footer="0.3"/>
  <x:drawing xmlns:r="http://schemas.openxmlformats.org/officeDocument/2006/relationships" r:id="Rb50a2e317e8b4a71"/>
</x:worksheet>
</file>